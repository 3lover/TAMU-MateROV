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Float communication method" sheetId="2" r:id="rId6"/>
    <sheet state="visible" name="Example" sheetId="3" r:id="rId7"/>
    <sheet state="visible" name="C3 Station" sheetId="4" r:id="rId8"/>
    <sheet state="visible" name="Lights" sheetId="5" r:id="rId9"/>
    <sheet state="visible" name="Microcontroller" sheetId="6" r:id="rId10"/>
    <sheet state="visible" name="Navigational Camera" sheetId="7" r:id="rId11"/>
    <sheet state="visible" name="2nd Camera" sheetId="8" r:id="rId12"/>
    <sheet state="visible" name="6 DOF IMU" sheetId="9" r:id="rId13"/>
    <sheet state="visible" name="Depth Sensor" sheetId="10" r:id="rId14"/>
  </sheets>
  <definedNames/>
  <calcPr/>
</workbook>
</file>

<file path=xl/sharedStrings.xml><?xml version="1.0" encoding="utf-8"?>
<sst xmlns="http://schemas.openxmlformats.org/spreadsheetml/2006/main" count="469" uniqueCount="273">
  <si>
    <t>*Add the name of what you are evaluating here*</t>
  </si>
  <si>
    <r>
      <rPr>
        <rFont val="Arial"/>
        <b/>
        <color theme="1"/>
        <sz val="12.0"/>
      </rPr>
      <t xml:space="preserve">Criteria              
</t>
    </r>
    <r>
      <rPr>
        <rFont val="Arial"/>
        <b/>
        <color rgb="FFFF0000"/>
        <sz val="10.0"/>
      </rPr>
      <t>In the column below, List all the important factors relating to the trade study</t>
    </r>
  </si>
  <si>
    <r>
      <rPr>
        <rFont val="Arial"/>
        <b/>
        <color theme="1"/>
        <sz val="12.0"/>
      </rPr>
      <t xml:space="preserve">Explanation               
</t>
    </r>
    <r>
      <rPr>
        <rFont val="Arial"/>
        <b/>
        <color rgb="FFFF0000"/>
        <sz val="10.0"/>
      </rPr>
      <t>This column provides a description for the criteria listed in the column to the left. This should contain a requirement identifier or another explanation of why the criteria is needed.</t>
    </r>
  </si>
  <si>
    <r>
      <rPr>
        <rFont val="Arial"/>
        <b/>
        <color theme="1"/>
        <sz val="12.0"/>
      </rPr>
      <t xml:space="preserve">Grade                        
</t>
    </r>
    <r>
      <rPr>
        <rFont val="Arial"/>
        <b/>
        <color rgb="FFFF0000"/>
        <sz val="10.0"/>
      </rPr>
      <t>Provides metric to standardize (normalize) options being considered.</t>
    </r>
  </si>
  <si>
    <r>
      <rPr>
        <rFont val="Arial"/>
        <b/>
        <color theme="1"/>
        <sz val="12.0"/>
      </rPr>
      <t xml:space="preserve">Weight         
</t>
    </r>
    <r>
      <rPr>
        <rFont val="Arial"/>
        <b/>
        <color rgb="FFFF0000"/>
        <sz val="10.0"/>
      </rPr>
      <t>Ranks the criteria by importantance. Typically on a numeric or percentage scale</t>
    </r>
  </si>
  <si>
    <t>Option 1</t>
  </si>
  <si>
    <t>Option 2</t>
  </si>
  <si>
    <t>Option 3</t>
  </si>
  <si>
    <r>
      <rPr>
        <rFont val="Arial"/>
        <b/>
        <color rgb="FFFF0000"/>
        <sz val="18.0"/>
      </rPr>
      <t xml:space="preserve">Reminder:
</t>
    </r>
    <r>
      <rPr>
        <rFont val="Arial"/>
        <b/>
        <color rgb="FF000000"/>
        <sz val="18.0"/>
      </rPr>
      <t>Remove red text in your final versions</t>
    </r>
  </si>
  <si>
    <t>Category 1</t>
  </si>
  <si>
    <t>Explanation 1 (i.e. ,requirement identifier, MPa, temperature, Watt, etc)</t>
  </si>
  <si>
    <t>10 = high,                            
5 = medium                                              
1 = low                                                 
0 = Fail</t>
  </si>
  <si>
    <t>Category 2</t>
  </si>
  <si>
    <t>Explanation 2 (i.e. ,requirement identifier, MPa, temperature, Watt, etc)</t>
  </si>
  <si>
    <t>Category 3</t>
  </si>
  <si>
    <t>Explanation 3 (i.e. ,requirement identifier, MPa, temperature, Watt, etc)</t>
  </si>
  <si>
    <t>Category 4</t>
  </si>
  <si>
    <t>Explanation 4 (i.e. ,requirement identifier, MPa, temperature, Watt, etc)</t>
  </si>
  <si>
    <t>TOTALS:</t>
  </si>
  <si>
    <t>^Ensure this totals 100% if you change them</t>
  </si>
  <si>
    <t>When trying to make the best design decisions for your project, trade studies are there to help break down any bias. Based on research and evidence you find, fill in the options and grade them based on the criteria you have set. Whichever option has the highest percentage "wins" the trade study by the criteria and grades you have assigned.</t>
  </si>
  <si>
    <t>Float communication method</t>
  </si>
  <si>
    <t xml:space="preserve">Criteria              
</t>
  </si>
  <si>
    <t xml:space="preserve">Explanation               
</t>
  </si>
  <si>
    <t xml:space="preserve">Grade                        
</t>
  </si>
  <si>
    <t xml:space="preserve">Weight         
</t>
  </si>
  <si>
    <t>Wifi</t>
  </si>
  <si>
    <t>BLE</t>
  </si>
  <si>
    <t>Lora Radio</t>
  </si>
  <si>
    <r>
      <rPr>
        <rFont val="Arial"/>
        <b/>
        <color rgb="FFFF0000"/>
        <sz val="18.0"/>
      </rPr>
      <t xml:space="preserve">Reminder:
</t>
    </r>
    <r>
      <rPr>
        <rFont val="Arial"/>
        <b/>
        <color rgb="FF000000"/>
        <sz val="18.0"/>
      </rPr>
      <t>Remove red text in your final versions</t>
    </r>
  </si>
  <si>
    <t>Power consumption</t>
  </si>
  <si>
    <t>The data transfer should not take up too much power from the float</t>
  </si>
  <si>
    <t>10 =relatively low                                                                  
1 = relatively high                                                 
0 = Fail</t>
  </si>
  <si>
    <t>10</t>
  </si>
  <si>
    <t>transfer speed</t>
  </si>
  <si>
    <t>The product demonstration time limit for this task is 15 minutes. Though not too important since data packets are small</t>
  </si>
  <si>
    <t>8</t>
  </si>
  <si>
    <t>interferance avoidance</t>
  </si>
  <si>
    <t>Other teams may be transmitting data at the same time, causing interference</t>
  </si>
  <si>
    <t>5</t>
  </si>
  <si>
    <t>Material of the Moon Rover Chassis</t>
  </si>
  <si>
    <t>Aluminum
Alloy</t>
  </si>
  <si>
    <t>Titanium
Alloy</t>
  </si>
  <si>
    <t>Magnesium
Alloy</t>
  </si>
  <si>
    <t>Weight</t>
  </si>
  <si>
    <t>Important for mobility and overall balance of rover
Big determiner of the speed of the rover</t>
  </si>
  <si>
    <t>Don't use these numbers it might be garbage for your use case</t>
  </si>
  <si>
    <t>Strength</t>
  </si>
  <si>
    <t>Must be able to support the different subsystems of the rover with no issues or risk</t>
  </si>
  <si>
    <t>9</t>
  </si>
  <si>
    <t>Thermal Capabilities</t>
  </si>
  <si>
    <t>Needs to be able to withstand the extreme temperatures of the lunar environment</t>
  </si>
  <si>
    <t>7</t>
  </si>
  <si>
    <t>Fatigue Resistance</t>
  </si>
  <si>
    <t>Needs to be able to withstand the harsh lunar dust and constant strain placed on it by the environment and rover components</t>
  </si>
  <si>
    <t>Cost</t>
  </si>
  <si>
    <t>Important to consider for the customer-defined requirement of cost</t>
  </si>
  <si>
    <t>6</t>
  </si>
  <si>
    <t>Device for computations</t>
  </si>
  <si>
    <t>* Don't use, do micro controller tab instead</t>
  </si>
  <si>
    <r>
      <rPr>
        <rFont val="Arial"/>
        <b/>
        <color theme="1"/>
        <sz val="12.0"/>
      </rPr>
      <t xml:space="preserve">Criteria              
</t>
    </r>
    <r>
      <rPr>
        <rFont val="Arial"/>
        <b/>
        <color rgb="FFFF0000"/>
        <sz val="10.0"/>
      </rPr>
      <t>In the column below, List all the important factors relating to the trade study</t>
    </r>
  </si>
  <si>
    <r>
      <rPr>
        <rFont val="Arial"/>
        <b/>
        <color theme="1"/>
        <sz val="12.0"/>
      </rPr>
      <t xml:space="preserve">Explanation               
</t>
    </r>
    <r>
      <rPr>
        <rFont val="Arial"/>
        <b/>
        <color rgb="FFFF0000"/>
        <sz val="10.0"/>
      </rPr>
      <t>This column provides a description for the criteria listed in the column to the left. This should contain a requirement identifier or another explanation of why the criteria is needed.</t>
    </r>
  </si>
  <si>
    <r>
      <rPr>
        <rFont val="Arial"/>
        <b/>
        <color theme="1"/>
        <sz val="12.0"/>
      </rPr>
      <t xml:space="preserve">Grade                        
</t>
    </r>
    <r>
      <rPr>
        <rFont val="Arial"/>
        <b/>
        <color rgb="FFFF0000"/>
        <sz val="10.0"/>
      </rPr>
      <t>Provides metric to standardize (normalize) options being considered.</t>
    </r>
  </si>
  <si>
    <r>
      <rPr>
        <rFont val="Arial"/>
        <b/>
        <color theme="1"/>
        <sz val="12.0"/>
      </rPr>
      <t xml:space="preserve">Weight         
</t>
    </r>
    <r>
      <rPr>
        <rFont val="Arial"/>
        <b/>
        <color rgb="FFFF0000"/>
        <sz val="10.0"/>
      </rPr>
      <t>Ranks the criteria by importantance. Typically on a numeric or percentage scale</t>
    </r>
  </si>
  <si>
    <t>Reusing an old laptop</t>
  </si>
  <si>
    <t>Buying new individual parts</t>
  </si>
  <si>
    <t>Buying used individual parts</t>
  </si>
  <si>
    <r>
      <rPr>
        <rFont val="Arial"/>
        <b/>
        <color rgb="FFFF0000"/>
        <sz val="18.0"/>
      </rPr>
      <t xml:space="preserve">Reminder:
</t>
    </r>
    <r>
      <rPr>
        <rFont val="Arial"/>
        <b/>
        <color rgb="FF000000"/>
        <sz val="18.0"/>
      </rPr>
      <t>Remove red text in your final versions</t>
    </r>
  </si>
  <si>
    <t>Speed of Computations and Communications</t>
  </si>
  <si>
    <t>We need whatever choice we make to ensure our computations are both done and sent quickly</t>
  </si>
  <si>
    <t>Port availability</t>
  </si>
  <si>
    <t>We need to make sure our parts are compatible with each other</t>
  </si>
  <si>
    <t>Reliability</t>
  </si>
  <si>
    <t>ROV needs reliable components to work both precisely and accurately during the competition</t>
  </si>
  <si>
    <t>We want to ensure we are not using overly expensive or unecessary parts</t>
  </si>
  <si>
    <t>Movement Input Device</t>
  </si>
  <si>
    <t>Criteria</t>
  </si>
  <si>
    <t>Explanation</t>
  </si>
  <si>
    <t>Grade</t>
  </si>
  <si>
    <t>Buying used logitech controller</t>
  </si>
  <si>
    <t>Buying joystick/ individual buttons</t>
  </si>
  <si>
    <t>Buying older controller (Ex. Gamecube)</t>
  </si>
  <si>
    <t>Buying new logitech controller</t>
  </si>
  <si>
    <t>We need to ensure the input device we use is not overly expensive or unecessarily complex</t>
  </si>
  <si>
    <t>10 = Cost-efficient,                            
7 = Decently expensive
5 = Expensive                                           
0 = Extremely expensive</t>
  </si>
  <si>
    <t>Easy to get used to</t>
  </si>
  <si>
    <t>Pilot needs to be able to get familiar with the inputs easily</t>
  </si>
  <si>
    <t>Durability</t>
  </si>
  <si>
    <t>The input device must not be easily breakable</t>
  </si>
  <si>
    <t>Available ports</t>
  </si>
  <si>
    <t>C3 Station needs an input device that can be easily integrated into the system</t>
  </si>
  <si>
    <t>10 = variety,                            
8 = limited, but works
1 = unpopular port
0 = Fail</t>
  </si>
  <si>
    <t>Precision</t>
  </si>
  <si>
    <t>Controller shall not be easily prone to stick drift</t>
  </si>
  <si>
    <t>10 = Will not have drift,                            
5 = Risk having drift
1 = Most likely will have drift
0 = Will have drift</t>
  </si>
  <si>
    <t>Tether</t>
  </si>
  <si>
    <t>* Dont do, I believe EPS is doing this</t>
  </si>
  <si>
    <t>Speed</t>
  </si>
  <si>
    <t>Length</t>
  </si>
  <si>
    <t>Size</t>
  </si>
  <si>
    <t>Flexibility</t>
  </si>
  <si>
    <t>C3 Outside Design</t>
  </si>
  <si>
    <t>3D printed design</t>
  </si>
  <si>
    <t>Purchase a frame online</t>
  </si>
  <si>
    <t>No frame, just components</t>
  </si>
  <si>
    <t>Protection of components</t>
  </si>
  <si>
    <t>We must ensure that the C3 station is durable and able to protect the components held within the station</t>
  </si>
  <si>
    <t>10 = Durable design,                            
8 = Unsure, most likely ok
5 = Risky design
0 = Will explode</t>
  </si>
  <si>
    <t>We do not want to use parts that are overpriced or too advanced</t>
  </si>
  <si>
    <t>10 = Low cost,                            
8 = A little expensive
5 = Pretty expensive                                                 
0 = Elon Musk</t>
  </si>
  <si>
    <t>Appearance</t>
  </si>
  <si>
    <t>We want to make sure our design doesnt make the C3 station look more complex than it needs to be or make the pilot uncomfortable while using it. Also, judges might like a cleaner looking design.</t>
  </si>
  <si>
    <t>10 = Not ugly or confusing,                            
7 = Little ugly, but works                                              
6 = A little confusing                                                 
0 = Nothing</t>
  </si>
  <si>
    <t>Transportability</t>
  </si>
  <si>
    <t>We want to make sure this is something that's easily transportable and will arrive to the competition in one piece.</t>
  </si>
  <si>
    <t>10 = Transportable,                            
5 = Risky to transport
1 = Most likely will break
0 = Wont make it off campus</t>
  </si>
  <si>
    <t>Easy to set up</t>
  </si>
  <si>
    <t>ROV must be able to be easily set up when we are at the competition, we want to waste as little time as possible.</t>
  </si>
  <si>
    <t>10 = Easy to set up,                            
8 = Might take some time or practice
5 = Will waste some time                                               
0 = Unreliable/won't set up</t>
  </si>
  <si>
    <t>Time to create</t>
  </si>
  <si>
    <t>We need to ensure that the design choice we pick will be feasible to create in the timeframe of the project</t>
  </si>
  <si>
    <t>10 = A couple weeks,                            
5 = Maybe a month max                                                                                               
0 = Yeah, no.</t>
  </si>
  <si>
    <t>Lights</t>
  </si>
  <si>
    <t>Singular high-power LED for each camera</t>
  </si>
  <si>
    <t>Ring-shaped LED light around each camera</t>
  </si>
  <si>
    <t>LED strips around what camera needs to see</t>
  </si>
  <si>
    <r>
      <rPr>
        <rFont val="Arial"/>
        <b/>
        <color rgb="FFFF0000"/>
        <sz val="18.0"/>
      </rPr>
      <t xml:space="preserve">Reminder:
</t>
    </r>
    <r>
      <rPr>
        <rFont val="Arial"/>
        <b/>
        <color rgb="FF000000"/>
        <sz val="18.0"/>
      </rPr>
      <t>Remove red text in your final versions</t>
    </r>
  </si>
  <si>
    <t>Power Usage</t>
  </si>
  <si>
    <t>Lights need to use a reasonable amount of power for our 48VDC power supply</t>
  </si>
  <si>
    <t>Brightness</t>
  </si>
  <si>
    <t>ROV pilot needs to be able to see clearly through cameras underwater</t>
  </si>
  <si>
    <t>ROV lights shall not be overly expensive or unecessarily high tech</t>
  </si>
  <si>
    <t>Operating depth</t>
  </si>
  <si>
    <t>ROV lights must operate under the depth conditions of the ROV during the competition</t>
  </si>
  <si>
    <t>10 = &gt;5.5 m,                            
7 = 5.5 m
4 = &gt; 5 m                                                 
0 = Will likely not work during competition</t>
  </si>
  <si>
    <t>Microcontroller</t>
  </si>
  <si>
    <t>Arduino + Ethernet IO Shield</t>
  </si>
  <si>
    <t>Raspberry pi 4 model B - 8 GB</t>
  </si>
  <si>
    <t>Raspberry pi 5</t>
  </si>
  <si>
    <t>We do not want to pick a microcontroller that requires more power than we are looking to give</t>
  </si>
  <si>
    <t>Need 14 ports for motors as well as an ethernet port, and usb</t>
  </si>
  <si>
    <t>RAM</t>
  </si>
  <si>
    <t>We need to be able to do lots of computations on the robot</t>
  </si>
  <si>
    <t xml:space="preserve">Price </t>
  </si>
  <si>
    <t xml:space="preserve">Affordablity is an issue we want to acknoldge </t>
  </si>
  <si>
    <t>Navigational Camera</t>
  </si>
  <si>
    <t>Notes:</t>
  </si>
  <si>
    <t>BRIO 100</t>
  </si>
  <si>
    <t>Newline 4K Webcam</t>
  </si>
  <si>
    <r>
      <rPr>
        <rFont val="Arial"/>
        <b/>
        <color rgb="FFFF0000"/>
        <sz val="18.0"/>
      </rPr>
      <t xml:space="preserve">Reminder:
</t>
    </r>
    <r>
      <rPr>
        <rFont val="Arial"/>
        <b/>
        <color rgb="FF000000"/>
        <sz val="18.0"/>
      </rPr>
      <t>Remove red text in your final versions</t>
    </r>
  </si>
  <si>
    <t>Underwater Sports DV Camera, Waterproof Diving Camera – 30M Waterproof, Wide-Angle Lens(Black)</t>
  </si>
  <si>
    <t>Ports</t>
  </si>
  <si>
    <t>The port must be HDMI micro or usb</t>
  </si>
  <si>
    <t>https://www.arducam.com/cameras-for-raspberrypi/imx708-camera-module-3-for-pi.html</t>
  </si>
  <si>
    <t>USB 2.0</t>
  </si>
  <si>
    <t>USB</t>
  </si>
  <si>
    <t>Resolution</t>
  </si>
  <si>
    <t>This will be one of the factors in how well we can see</t>
  </si>
  <si>
    <t>10 = &gt;1080p,                            
6 = 720p
3 = 480p                                                 
0 = &lt;480p</t>
  </si>
  <si>
    <t>https://bluerobotics.com/store/sensors-cameras/cameras/cam-usb-low-light-r1/</t>
  </si>
  <si>
    <t>480p actual 1080p interpolation resolution</t>
  </si>
  <si>
    <t>1080p</t>
  </si>
  <si>
    <t>4k or 1080p</t>
  </si>
  <si>
    <t>We will have a tight budget during season so we don't want to waste money</t>
  </si>
  <si>
    <t>https://www.hobbywater.com/products/diy-kit-camera-compatible-ardusub-raspberry-pi-imx322-sensor-200w-rov-usb-camera?srsltid=AfmBOooYxhqnP9PBH86m2Wk1RyTiwZtGrdLA-EOFeQ13m0fb5FzDgmNH</t>
  </si>
  <si>
    <t>Latency/Frame Rate</t>
  </si>
  <si>
    <t>Having a responsive camera will allow the driver to recive better feed back</t>
  </si>
  <si>
    <t>10 = 60 fps,                            
5 = 30 fps                                              
1 = low                                                 
0 = Fail</t>
  </si>
  <si>
    <t>30 or 60</t>
  </si>
  <si>
    <t>Having a duriable and reliable camara will stop us from dealing with pains at comp</t>
  </si>
  <si>
    <t>Guestemating a 4 based off one I have</t>
  </si>
  <si>
    <t>Looks pretty delicate 3</t>
  </si>
  <si>
    <t>FOV</t>
  </si>
  <si>
    <t xml:space="preserve">This will determine how much we can see around us </t>
  </si>
  <si>
    <t>10 = &gt;=180,                            
6 = &gt;90
6 = &gt;90
0 = Fail</t>
  </si>
  <si>
    <t>140 degrees</t>
  </si>
  <si>
    <t>58 degrees</t>
  </si>
  <si>
    <t>79 degrees</t>
  </si>
  <si>
    <t>Waterproof</t>
  </si>
  <si>
    <t>A water proof camera is good for if the worst comes to worst if there is a leakage</t>
  </si>
  <si>
    <t>10 = more depth                            
7 = enough depth                                              
3 = very risky                                                 
0 = no depth</t>
  </si>
  <si>
    <t>0</t>
  </si>
  <si>
    <t>A lighter camera is better as it is easier to build around</t>
  </si>
  <si>
    <t>0.6 lbs</t>
  </si>
  <si>
    <t>2.65 oz</t>
  </si>
  <si>
    <t>4oz?</t>
  </si>
  <si>
    <t>Power Consumption</t>
  </si>
  <si>
    <t>We don't want to draw current from vital systems</t>
  </si>
  <si>
    <t>Brio 100</t>
  </si>
  <si>
    <t>Newline 4k Webcam</t>
  </si>
  <si>
    <t>another link</t>
  </si>
  <si>
    <t>350 mA current</t>
  </si>
  <si>
    <t>IFWATER</t>
  </si>
  <si>
    <t>Akaso</t>
  </si>
  <si>
    <t>Specialized Camera</t>
  </si>
  <si>
    <t>Insta360 X4</t>
  </si>
  <si>
    <t>Kodak PixPro SP360</t>
  </si>
  <si>
    <t>Samsung Gear 360 VR Camera</t>
  </si>
  <si>
    <r>
      <rPr>
        <rFont val="Arial"/>
        <b/>
        <color rgb="FFFF0000"/>
        <sz val="18.0"/>
      </rPr>
      <t xml:space="preserve">Reminder:
</t>
    </r>
    <r>
      <rPr>
        <rFont val="Arial"/>
        <b/>
        <color rgb="FF000000"/>
        <sz val="18.0"/>
      </rPr>
      <t>Remove red text in your final versions</t>
    </r>
  </si>
  <si>
    <t>10 = &lt; $100,                            
8 = &lt;$130
6 = &lt;$150                                                 
0 = &gt;$300</t>
  </si>
  <si>
    <t>Method of 360 photosphere</t>
  </si>
  <si>
    <t>Easier methods to do the 360 photosphere is prefered.</t>
  </si>
  <si>
    <t>10 = fishlens and 1 photo to make photosphere,                            
5 = fishlens and more than 1 photo to make photosphere                                    
1 = still images                                               
0 = Fail</t>
  </si>
  <si>
    <t>Having a reliable camera not prone to issues will help reduce chance of camera failure during competition</t>
  </si>
  <si>
    <t>4</t>
  </si>
  <si>
    <t>A water proof camera is good for if the worst comes to worst</t>
  </si>
  <si>
    <t>2 cameras</t>
  </si>
  <si>
    <t>Insta360</t>
  </si>
  <si>
    <t>Kodak</t>
  </si>
  <si>
    <t>5.4 oz weight</t>
  </si>
  <si>
    <t>Examples</t>
  </si>
  <si>
    <t>Example</t>
  </si>
  <si>
    <t>Gear 360</t>
  </si>
  <si>
    <t>Documentation</t>
  </si>
  <si>
    <t>https://www.youtube.com/watch?v=VIEGL-BoA3Q</t>
  </si>
  <si>
    <t>https://www.youtube.com/watch?v=dGTEUUPsk74</t>
  </si>
  <si>
    <t>Kodak  Pixpro sp360 4k</t>
  </si>
  <si>
    <t>Insta 360</t>
  </si>
  <si>
    <t>https://andymark.com/products/elp-fisheye-lens-camera</t>
  </si>
  <si>
    <t>Ifwater</t>
  </si>
  <si>
    <t>Inertial Measurement Unit (IMU)</t>
  </si>
  <si>
    <t>Adafruit LSM6DS3TR-C 6-DoF</t>
  </si>
  <si>
    <t>Sysrox Imu 6Dof icm42688</t>
  </si>
  <si>
    <r>
      <rPr>
        <rFont val="Arial"/>
        <b/>
        <color rgb="FFFF0000"/>
        <sz val="18.0"/>
      </rPr>
      <t xml:space="preserve">Reminder:
</t>
    </r>
    <r>
      <rPr>
        <rFont val="Arial"/>
        <b/>
        <color rgb="FF000000"/>
        <sz val="18.0"/>
      </rPr>
      <t>Remove red text in your final versions</t>
    </r>
  </si>
  <si>
    <t xml:space="preserve">
Power Consumption</t>
  </si>
  <si>
    <t>Need to be sure that the IMU can be powered by the 48vdc power supply</t>
  </si>
  <si>
    <t>Link</t>
  </si>
  <si>
    <t>https://www.adafruit.com/product/4503?srsltid=AfmBOoqCiqt55zpF_YCKWMF5McegoiXjEy0Np1zuTZKrv76zFvSWRIPfblY</t>
  </si>
  <si>
    <t>sensitivity</t>
  </si>
  <si>
    <t>Needs to have as small as possible mg/LSB and mdps/LSB along with not significantly increase when FS increases.</t>
  </si>
  <si>
    <t>https://cdn-shop.adafruit.com/product-files/4503/4503_LSM6DS3TR-C_datasheet.pdf</t>
  </si>
  <si>
    <t>Accuracy</t>
  </si>
  <si>
    <t>Need to ensure that the measurements we are providing to other components are accurate. Accuracy is somewhat dependent on temperature which affects readings both while stationary and while moving.</t>
  </si>
  <si>
    <t>We want to ensure that the IMU we choose updates quickly enough to enable our components to react to changes in a timely manner</t>
  </si>
  <si>
    <t>10 = &gt;200 Hz,                            
7 = &gt;100 Hz                                              
3 = &gt;50 Hz                                                 
0 = Fail</t>
  </si>
  <si>
    <t>https://www.elecrow.com/sysrox-imu-6dof-accelerometer-gyroscope-icm42688-spi-nano-sensor.html</t>
  </si>
  <si>
    <t>Signal transmission type</t>
  </si>
  <si>
    <t>Need to be sure that the IMU we pick is compatible with the microprocessor we choose</t>
  </si>
  <si>
    <t>10 = I^2C (Digital),                            
5 = Analog                                              
1 = low                                                 
0 = Fail</t>
  </si>
  <si>
    <t>https://www.elecrow.com/media/qb/tmp/common/file/2024/06/ds-000347_icm-42688-p-datasheet_14.20.54_3234650156674211b4b196.pdf</t>
  </si>
  <si>
    <t>https://protosupplies.com/product/mpu-6050-gy-521-3-axis-accel-gryo-sensor-module/</t>
  </si>
  <si>
    <t>https://invensense.tdk.com/wp-content/uploads/2015/02/MPU-6000-Datasheet1.pdf</t>
  </si>
  <si>
    <t>zero-rate / zero-g is stationary</t>
  </si>
  <si>
    <t>https://cdn.sparkfun.com/assets/d/4/6/d/f/ism330dhcx_Datasheet.pdf</t>
  </si>
  <si>
    <t>https://youtu.be/3mgSi0RkANc</t>
  </si>
  <si>
    <t>Depth Sensor</t>
  </si>
  <si>
    <t>Bar High-Resolution Depth/Pressure sensor</t>
  </si>
  <si>
    <t>Bar02 Ultra High Resolution 10m Depth/Pressure Sensor</t>
  </si>
  <si>
    <t>Subsea M8 Depth Sensor (0-30Bar)</t>
  </si>
  <si>
    <t>NPI-19J-050A2</t>
  </si>
  <si>
    <t>Sensor type</t>
  </si>
  <si>
    <t>A guage sensor already measures water only pressure while an absolute sensor measures atmospheric + water pressure. Differential sensor needs two sensors, one above and one below water.</t>
  </si>
  <si>
    <t>10 = Absolute
9 = Gauge                                              
5 = Differential                                               
0 = Fail</t>
  </si>
  <si>
    <t>https://bluerobotics.com/store/sensors-cameras/sensors/bar-depth-pressure-sensor/</t>
  </si>
  <si>
    <t>Operating pressure range</t>
  </si>
  <si>
    <t>Must be able to withstand the pressure of 5.5 meters underwater</t>
  </si>
  <si>
    <t>10 = &gt;5.5 m,                            
3 = 4 m,
1 = low,                                                
0 = Fail,</t>
  </si>
  <si>
    <t>https://www.robotshop.com/products/bar02-ultra-high-resolution-10m-depth-pressure-sensor</t>
  </si>
  <si>
    <t>Can be powered by the 48vdc power supply</t>
  </si>
  <si>
    <t>Will still need the power to be converted to lower voltage for these components if its too high.</t>
  </si>
  <si>
    <t>https://blu-sub.com/products/subsea-depth-sensor-m8</t>
  </si>
  <si>
    <t>Temperature Rating</t>
  </si>
  <si>
    <t>The sensors must be able to operate in -25 degree celcius conditions</t>
  </si>
  <si>
    <t>10 = true,                                                                           
0 = false</t>
  </si>
  <si>
    <t>Sensors must be accurate to ensure we can complete tasks correctly and reliably</t>
  </si>
  <si>
    <t>10 = &lt; +- 1 cm,                            
9 = &lt; +- 2 cm                                              
5 = &lt; +- 5 cm                                                 
0 = Fail</t>
  </si>
  <si>
    <t xml:space="preserve">signal transmission type </t>
  </si>
  <si>
    <t>Important depending on what protocol we will use to transmit signals.</t>
  </si>
  <si>
    <t>Uses I^2C transmission type, see if this works because digital might have short length but could maybe be sent through tether with microcontroller</t>
  </si>
  <si>
    <t>https://www.amsys-sensor.com/</t>
  </si>
  <si>
    <t>https://www.adafruit.com/product/4258</t>
  </si>
  <si>
    <t>https://www.te.com/en/product-CAT-BLPS0017.html</t>
  </si>
  <si>
    <t>https://www.te.com/en/product-CAT-BLPS0059.html?&amp;type=products&amp;q=MS5837&amp;n=135117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</si>
</sst>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2">
    <font>
      <sz val="10.0"/>
      <color rgb="FF000000"/>
      <name val="Arial"/>
      <scheme val="minor"/>
    </font>
    <font>
      <b/>
      <sz val="18.0"/>
      <color theme="1"/>
      <name val="Arial"/>
    </font>
    <font/>
    <font>
      <color theme="1"/>
      <name val="Arial"/>
    </font>
    <font>
      <b/>
      <sz val="12.0"/>
      <color theme="1"/>
      <name val="Arial"/>
    </font>
    <font>
      <b/>
      <sz val="14.0"/>
      <color theme="1"/>
      <name val="Arial"/>
    </font>
    <font>
      <b/>
      <sz val="18.0"/>
      <color rgb="FFFF0000"/>
      <name val="Arial"/>
    </font>
    <font>
      <color theme="1"/>
      <name val="Roboto"/>
    </font>
    <font>
      <b/>
      <sz val="8.0"/>
      <color theme="1"/>
      <name val="Arial"/>
    </font>
    <font>
      <b/>
      <color theme="1"/>
      <name val="Arial"/>
    </font>
    <font>
      <b/>
      <color rgb="FFFF0000"/>
      <name val="Arial"/>
    </font>
    <font>
      <sz val="13.0"/>
      <color theme="1"/>
      <name val="Arial"/>
    </font>
    <font>
      <color rgb="FF000000"/>
      <name val="Arial"/>
    </font>
    <font>
      <b/>
      <sz val="13.0"/>
      <color theme="1"/>
      <name val="Arial"/>
    </font>
    <font>
      <b/>
      <sz val="11.0"/>
      <color theme="1"/>
      <name val="Arial"/>
    </font>
    <font>
      <color theme="1"/>
      <name val="Arial"/>
      <scheme val="minor"/>
    </font>
    <font>
      <color rgb="FF000000"/>
      <name val="Arial"/>
      <scheme val="minor"/>
    </font>
    <font>
      <b/>
      <color rgb="FF2E2F32"/>
      <name val="Arial"/>
    </font>
    <font>
      <u/>
      <color rgb="FF0000FF"/>
      <name val="Arial"/>
    </font>
    <font>
      <u/>
      <color rgb="FF0000FF"/>
    </font>
    <font>
      <u/>
      <color rgb="FF0000FF"/>
    </font>
    <font>
      <u/>
      <color rgb="FF0000FF"/>
    </font>
  </fonts>
  <fills count="11">
    <fill>
      <patternFill patternType="none"/>
    </fill>
    <fill>
      <patternFill patternType="lightGray"/>
    </fill>
    <fill>
      <patternFill patternType="solid">
        <fgColor rgb="FF999999"/>
        <bgColor rgb="FF999999"/>
      </patternFill>
    </fill>
    <fill>
      <patternFill patternType="solid">
        <fgColor rgb="FFCCCCCC"/>
        <bgColor rgb="FFCCCCCC"/>
      </patternFill>
    </fill>
    <fill>
      <patternFill patternType="solid">
        <fgColor rgb="FFA4C2F4"/>
        <bgColor rgb="FFA4C2F4"/>
      </patternFill>
    </fill>
    <fill>
      <patternFill patternType="solid">
        <fgColor rgb="FFFFFF00"/>
        <bgColor rgb="FFFFFF00"/>
      </patternFill>
    </fill>
    <fill>
      <patternFill patternType="solid">
        <fgColor rgb="FFFFFFFF"/>
        <bgColor rgb="FFFFFFFF"/>
      </patternFill>
    </fill>
    <fill>
      <patternFill patternType="solid">
        <fgColor rgb="FF34A853"/>
        <bgColor rgb="FF34A853"/>
      </patternFill>
    </fill>
    <fill>
      <patternFill patternType="solid">
        <fgColor rgb="FFFF0000"/>
        <bgColor rgb="FFFF0000"/>
      </patternFill>
    </fill>
    <fill>
      <patternFill patternType="solid">
        <fgColor rgb="FFED5D2B"/>
        <bgColor rgb="FFED5D2B"/>
      </patternFill>
    </fill>
    <fill>
      <patternFill patternType="solid">
        <fgColor rgb="FFEA4335"/>
        <bgColor rgb="FFEA4335"/>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shrinkToFit="0" wrapText="1"/>
    </xf>
    <xf borderId="5" fillId="3" fontId="4" numFmtId="0" xfId="0" applyAlignment="1" applyBorder="1" applyFont="1">
      <alignment horizontal="center" shrinkToFit="0" wrapText="1"/>
    </xf>
    <xf borderId="5" fillId="4" fontId="5" numFmtId="0" xfId="0" applyAlignment="1" applyBorder="1" applyFill="1" applyFont="1">
      <alignment horizontal="center"/>
    </xf>
    <xf borderId="0" fillId="5" fontId="6" numFmtId="0" xfId="0" applyAlignment="1" applyFill="1" applyFont="1">
      <alignment horizontal="center" shrinkToFit="0" wrapText="1"/>
    </xf>
    <xf borderId="4" fillId="0" fontId="3" numFmtId="0" xfId="0" applyAlignment="1" applyBorder="1" applyFont="1">
      <alignment horizontal="center"/>
    </xf>
    <xf borderId="5" fillId="0" fontId="3" numFmtId="0" xfId="0" applyAlignment="1" applyBorder="1" applyFont="1">
      <alignment horizontal="center" shrinkToFit="0" wrapText="1"/>
    </xf>
    <xf borderId="5" fillId="6" fontId="7" numFmtId="0" xfId="0" applyAlignment="1" applyBorder="1" applyFill="1" applyFont="1">
      <alignment shrinkToFit="0" wrapText="1"/>
    </xf>
    <xf borderId="5" fillId="0" fontId="3" numFmtId="9" xfId="0" applyAlignment="1" applyBorder="1" applyFont="1" applyNumberFormat="1">
      <alignment horizontal="center"/>
    </xf>
    <xf borderId="5" fillId="0" fontId="3" numFmtId="0" xfId="0" applyBorder="1" applyFont="1"/>
    <xf borderId="5" fillId="0" fontId="3" numFmtId="49" xfId="0" applyBorder="1" applyFont="1" applyNumberFormat="1"/>
    <xf borderId="4" fillId="0" fontId="3" numFmtId="0" xfId="0" applyBorder="1" applyFont="1"/>
    <xf borderId="6" fillId="0" fontId="8" numFmtId="0" xfId="0" applyAlignment="1" applyBorder="1" applyFont="1">
      <alignment horizontal="center"/>
    </xf>
    <xf borderId="7" fillId="0" fontId="9" numFmtId="9" xfId="0" applyAlignment="1" applyBorder="1" applyFont="1" applyNumberFormat="1">
      <alignment horizontal="center"/>
    </xf>
    <xf borderId="5" fillId="7" fontId="3" numFmtId="10" xfId="0" applyAlignment="1" applyBorder="1" applyFill="1" applyFont="1" applyNumberFormat="1">
      <alignment horizontal="center"/>
    </xf>
    <xf borderId="0" fillId="0" fontId="10" numFmtId="0" xfId="0" applyAlignment="1" applyFont="1">
      <alignment horizontal="center" shrinkToFit="0" wrapText="1"/>
    </xf>
    <xf borderId="0" fillId="0" fontId="11" numFmtId="0" xfId="0" applyAlignment="1" applyFont="1">
      <alignment shrinkToFit="0" vertical="top" wrapText="1"/>
    </xf>
    <xf borderId="4" fillId="3" fontId="4" numFmtId="0" xfId="0" applyAlignment="1" applyBorder="1" applyFont="1">
      <alignment horizontal="center" readingOrder="0" shrinkToFit="0" wrapText="1"/>
    </xf>
    <xf borderId="5" fillId="3" fontId="4" numFmtId="0" xfId="0" applyAlignment="1" applyBorder="1" applyFont="1">
      <alignment horizontal="center" readingOrder="0" shrinkToFit="0" wrapText="1"/>
    </xf>
    <xf borderId="5" fillId="4" fontId="5" numFmtId="0" xfId="0" applyAlignment="1" applyBorder="1" applyFont="1">
      <alignment horizontal="center" readingOrder="0"/>
    </xf>
    <xf borderId="4" fillId="0" fontId="3" numFmtId="0" xfId="0" applyAlignment="1" applyBorder="1" applyFont="1">
      <alignment horizontal="center" readingOrder="0"/>
    </xf>
    <xf borderId="5" fillId="0" fontId="3" numFmtId="0" xfId="0" applyAlignment="1" applyBorder="1" applyFont="1">
      <alignment horizontal="center" readingOrder="0" shrinkToFit="0" wrapText="1"/>
    </xf>
    <xf borderId="5" fillId="6" fontId="7" numFmtId="0" xfId="0" applyAlignment="1" applyBorder="1" applyFont="1">
      <alignment readingOrder="0" shrinkToFit="0" wrapText="1"/>
    </xf>
    <xf borderId="5" fillId="0" fontId="3" numFmtId="9" xfId="0" applyAlignment="1" applyBorder="1" applyFont="1" applyNumberFormat="1">
      <alignment horizontal="center" readingOrder="0"/>
    </xf>
    <xf borderId="5" fillId="0" fontId="3" numFmtId="0" xfId="0" applyAlignment="1" applyBorder="1" applyFont="1">
      <alignment readingOrder="0"/>
    </xf>
    <xf borderId="5" fillId="0" fontId="3" numFmtId="49" xfId="0" applyAlignment="1" applyBorder="1" applyFont="1" applyNumberFormat="1">
      <alignment readingOrder="0"/>
    </xf>
    <xf borderId="1" fillId="2" fontId="1" numFmtId="0" xfId="0" applyAlignment="1" applyBorder="1" applyFont="1">
      <alignment horizontal="center"/>
    </xf>
    <xf borderId="7" fillId="3" fontId="4" numFmtId="0" xfId="0" applyAlignment="1" applyBorder="1" applyFont="1">
      <alignment horizontal="center" shrinkToFit="0" wrapText="1"/>
    </xf>
    <xf borderId="3" fillId="3" fontId="4" numFmtId="0" xfId="0" applyAlignment="1" applyBorder="1" applyFont="1">
      <alignment horizontal="center" shrinkToFit="0" wrapText="1"/>
    </xf>
    <xf borderId="3" fillId="4" fontId="5" numFmtId="0" xfId="0" applyAlignment="1" applyBorder="1" applyFont="1">
      <alignment horizontal="center"/>
    </xf>
    <xf borderId="8" fillId="0" fontId="3" numFmtId="0" xfId="0" applyBorder="1" applyFont="1"/>
    <xf borderId="0" fillId="0" fontId="6" numFmtId="0" xfId="0" applyAlignment="1" applyFont="1">
      <alignment horizontal="center" shrinkToFit="0" wrapText="1"/>
    </xf>
    <xf borderId="5" fillId="0" fontId="3" numFmtId="0" xfId="0" applyAlignment="1" applyBorder="1" applyFont="1">
      <alignment horizontal="center"/>
    </xf>
    <xf borderId="5" fillId="0" fontId="3" numFmtId="49" xfId="0" applyAlignment="1" applyBorder="1" applyFont="1" applyNumberFormat="1">
      <alignment horizontal="center"/>
    </xf>
    <xf borderId="0" fillId="8" fontId="3" numFmtId="0" xfId="0" applyAlignment="1" applyFill="1" applyFont="1">
      <alignment horizontal="center" shrinkToFit="0" wrapText="1"/>
    </xf>
    <xf borderId="5" fillId="6" fontId="12" numFmtId="0" xfId="0" applyAlignment="1" applyBorder="1" applyFont="1">
      <alignment horizontal="center" shrinkToFit="0" wrapText="1"/>
    </xf>
    <xf borderId="5" fillId="9" fontId="3" numFmtId="10" xfId="0" applyAlignment="1" applyBorder="1" applyFill="1" applyFont="1" applyNumberFormat="1">
      <alignment horizontal="center"/>
    </xf>
    <xf borderId="5" fillId="10" fontId="3" numFmtId="10" xfId="0" applyAlignment="1" applyBorder="1" applyFill="1" applyFont="1" applyNumberFormat="1">
      <alignment horizontal="center"/>
    </xf>
    <xf borderId="0" fillId="5" fontId="12" numFmtId="0" xfId="0" applyAlignment="1" applyFont="1">
      <alignment readingOrder="0" shrinkToFit="0" wrapText="1"/>
    </xf>
    <xf borderId="5" fillId="4" fontId="5" numFmtId="0" xfId="0" applyAlignment="1" applyBorder="1" applyFont="1">
      <alignment horizontal="center" readingOrder="0" shrinkToFit="0" wrapText="1"/>
    </xf>
    <xf borderId="4" fillId="0" fontId="3" numFmtId="0" xfId="0" applyAlignment="1" applyBorder="1" applyFont="1">
      <alignment horizontal="center" readingOrder="0" shrinkToFit="0" wrapText="1"/>
    </xf>
    <xf borderId="5" fillId="0" fontId="3" numFmtId="0" xfId="0" applyAlignment="1" applyBorder="1" applyFont="1">
      <alignment horizontal="right" readingOrder="0"/>
    </xf>
    <xf borderId="5" fillId="0" fontId="3" numFmtId="49" xfId="0" applyAlignment="1" applyBorder="1" applyFont="1" applyNumberFormat="1">
      <alignment horizontal="right" readingOrder="0"/>
    </xf>
    <xf borderId="5" fillId="4" fontId="13" numFmtId="0" xfId="0" applyAlignment="1" applyBorder="1" applyFont="1">
      <alignment horizontal="center" readingOrder="0" shrinkToFit="0" wrapText="1"/>
    </xf>
    <xf borderId="5" fillId="4" fontId="4" numFmtId="0" xfId="0" applyAlignment="1" applyBorder="1" applyFont="1">
      <alignment horizontal="center" readingOrder="0" shrinkToFit="0" wrapText="1"/>
    </xf>
    <xf borderId="5" fillId="4" fontId="14" numFmtId="0" xfId="0" applyAlignment="1" applyBorder="1" applyFont="1">
      <alignment horizontal="center" readingOrder="0" shrinkToFit="0" wrapText="1"/>
    </xf>
    <xf borderId="0" fillId="0" fontId="15" numFmtId="0" xfId="0" applyAlignment="1" applyFont="1">
      <alignment readingOrder="0" shrinkToFit="0" wrapText="1"/>
    </xf>
    <xf borderId="1" fillId="2" fontId="1" numFmtId="0" xfId="0" applyAlignment="1" applyBorder="1" applyFont="1">
      <alignment horizontal="center" readingOrder="0" vertical="bottom"/>
    </xf>
    <xf borderId="4" fillId="3" fontId="4" numFmtId="0" xfId="0" applyAlignment="1" applyBorder="1" applyFont="1">
      <alignment horizontal="center" readingOrder="0" shrinkToFit="0" vertical="bottom" wrapText="1"/>
    </xf>
    <xf borderId="5" fillId="3" fontId="4" numFmtId="0" xfId="0" applyAlignment="1" applyBorder="1" applyFont="1">
      <alignment horizontal="center" readingOrder="0" shrinkToFit="0" vertical="bottom" wrapText="1"/>
    </xf>
    <xf borderId="5" fillId="4" fontId="5" numFmtId="0" xfId="0" applyAlignment="1" applyBorder="1" applyFont="1">
      <alignment horizontal="center" shrinkToFit="0" vertical="bottom" wrapText="1"/>
    </xf>
    <xf borderId="4" fillId="0" fontId="3" numFmtId="0" xfId="0" applyAlignment="1" applyBorder="1" applyFont="1">
      <alignment horizontal="center" readingOrder="0" shrinkToFit="0" vertical="bottom" wrapText="1"/>
    </xf>
    <xf borderId="5" fillId="0" fontId="3" numFmtId="0" xfId="0" applyAlignment="1" applyBorder="1" applyFont="1">
      <alignment horizontal="center" shrinkToFit="0" vertical="bottom" wrapText="1"/>
    </xf>
    <xf borderId="5" fillId="0" fontId="3" numFmtId="9" xfId="0" applyAlignment="1" applyBorder="1" applyFont="1" applyNumberFormat="1">
      <alignment horizontal="center" vertical="bottom"/>
    </xf>
    <xf borderId="5" fillId="0" fontId="3" numFmtId="0" xfId="0" applyAlignment="1" applyBorder="1" applyFont="1">
      <alignment vertical="bottom"/>
    </xf>
    <xf borderId="5" fillId="0" fontId="3" numFmtId="49" xfId="0" applyAlignment="1" applyBorder="1" applyFont="1" applyNumberFormat="1">
      <alignment vertical="bottom"/>
    </xf>
    <xf borderId="4" fillId="0" fontId="3" numFmtId="0" xfId="0" applyAlignment="1" applyBorder="1" applyFont="1">
      <alignment horizontal="center" readingOrder="0" vertical="bottom"/>
    </xf>
    <xf borderId="5" fillId="0" fontId="3" numFmtId="9" xfId="0" applyAlignment="1" applyBorder="1" applyFont="1" applyNumberFormat="1">
      <alignment horizontal="center" readingOrder="0" vertical="bottom"/>
    </xf>
    <xf borderId="4" fillId="0" fontId="3" numFmtId="0" xfId="0" applyAlignment="1" applyBorder="1" applyFont="1">
      <alignment vertical="bottom"/>
    </xf>
    <xf borderId="6" fillId="0" fontId="8" numFmtId="0" xfId="0" applyAlignment="1" applyBorder="1" applyFont="1">
      <alignment horizontal="center" vertical="bottom"/>
    </xf>
    <xf borderId="7" fillId="0" fontId="9" numFmtId="9" xfId="0" applyAlignment="1" applyBorder="1" applyFont="1" applyNumberFormat="1">
      <alignment horizontal="center" vertical="bottom"/>
    </xf>
    <xf borderId="5" fillId="7" fontId="3" numFmtId="10" xfId="0" applyAlignment="1" applyBorder="1" applyFont="1" applyNumberFormat="1">
      <alignment horizontal="center" vertical="bottom"/>
    </xf>
    <xf borderId="5" fillId="4" fontId="5" numFmtId="0" xfId="0" applyAlignment="1" applyBorder="1" applyFont="1">
      <alignment horizontal="center" readingOrder="0" shrinkToFit="0" vertical="bottom" wrapText="1"/>
    </xf>
    <xf borderId="5" fillId="0" fontId="3" numFmtId="0" xfId="0" applyAlignment="1" applyBorder="1" applyFont="1">
      <alignment horizontal="center" readingOrder="0" shrinkToFit="0" vertical="bottom" wrapText="1"/>
    </xf>
    <xf borderId="5" fillId="0" fontId="3" numFmtId="0" xfId="0" applyAlignment="1" applyBorder="1" applyFont="1">
      <alignment horizontal="right" readingOrder="0" vertical="bottom"/>
    </xf>
    <xf borderId="5" fillId="0" fontId="3" numFmtId="49" xfId="0" applyAlignment="1" applyBorder="1" applyFont="1" applyNumberFormat="1">
      <alignment horizontal="right" readingOrder="0" vertical="bottom"/>
    </xf>
    <xf borderId="5" fillId="0" fontId="3" numFmtId="0" xfId="0" applyAlignment="1" applyBorder="1" applyFont="1">
      <alignment horizontal="center" readingOrder="0"/>
    </xf>
    <xf borderId="5" fillId="0" fontId="3" numFmtId="49" xfId="0" applyAlignment="1" applyBorder="1" applyFont="1" applyNumberFormat="1">
      <alignment horizontal="center" readingOrder="0"/>
    </xf>
    <xf borderId="5" fillId="0" fontId="9" numFmtId="9" xfId="0" applyAlignment="1" applyBorder="1" applyFont="1" applyNumberFormat="1">
      <alignment horizontal="center" readingOrder="0"/>
    </xf>
    <xf borderId="0" fillId="0" fontId="15" numFmtId="0" xfId="0" applyAlignment="1" applyFont="1">
      <alignment readingOrder="0"/>
    </xf>
    <xf borderId="0" fillId="0" fontId="16" numFmtId="0" xfId="0" applyAlignment="1" applyFont="1">
      <alignment readingOrder="0" shrinkToFit="0" wrapText="0"/>
    </xf>
    <xf borderId="0" fillId="0" fontId="15" numFmtId="0" xfId="0" applyAlignment="1" applyFont="1">
      <alignment readingOrder="0"/>
    </xf>
    <xf borderId="0" fillId="0" fontId="17" numFmtId="0" xfId="0" applyAlignment="1" applyFont="1">
      <alignment readingOrder="0" shrinkToFit="0" wrapText="1"/>
    </xf>
    <xf borderId="0" fillId="0" fontId="18" numFmtId="0" xfId="0" applyAlignment="1" applyFont="1">
      <alignment readingOrder="0"/>
    </xf>
    <xf borderId="0" fillId="0" fontId="15" numFmtId="164" xfId="0" applyAlignment="1" applyFont="1" applyNumberFormat="1">
      <alignment readingOrder="0"/>
    </xf>
    <xf borderId="5" fillId="6" fontId="7" numFmtId="0" xfId="0" applyAlignment="1" applyBorder="1" applyFont="1">
      <alignment readingOrder="0" shrinkToFit="0" vertical="bottom" wrapText="1"/>
    </xf>
    <xf borderId="0" fillId="0" fontId="19" numFmtId="0" xfId="0" applyAlignment="1" applyFont="1">
      <alignment readingOrder="0" shrinkToFit="0" wrapText="1"/>
    </xf>
    <xf borderId="0" fillId="0" fontId="20" numFmtId="0" xfId="0" applyAlignment="1" applyFont="1">
      <alignment readingOrder="0"/>
    </xf>
    <xf borderId="0" fillId="0" fontId="15" numFmtId="0" xfId="0" applyAlignment="1" applyFont="1">
      <alignment readingOrder="0" shrinkToFit="0" wrapText="0"/>
    </xf>
    <xf borderId="0" fillId="0" fontId="3" numFmtId="0" xfId="0" applyAlignment="1" applyFont="1">
      <alignment readingOrder="0"/>
    </xf>
    <xf borderId="4" fillId="0" fontId="3" numFmtId="0" xfId="0" applyAlignment="1" applyBorder="1" applyFont="1">
      <alignment horizontal="center" vertical="bottom"/>
    </xf>
    <xf borderId="5" fillId="0" fontId="3" numFmtId="0" xfId="0" applyAlignment="1" applyBorder="1" applyFont="1">
      <alignment horizontal="center" shrinkToFit="0" vertical="bottom" wrapText="1"/>
    </xf>
    <xf borderId="5" fillId="6" fontId="7" numFmtId="0" xfId="0" applyAlignment="1" applyBorder="1" applyFont="1">
      <alignment shrinkToFit="0" vertical="bottom" wrapText="1"/>
    </xf>
    <xf borderId="5" fillId="0" fontId="3" numFmtId="0" xfId="0" applyAlignment="1" applyBorder="1" applyFont="1">
      <alignment horizontal="right" vertical="bottom"/>
    </xf>
    <xf borderId="5" fillId="0" fontId="3" numFmtId="49" xfId="0" applyAlignment="1" applyBorder="1" applyFont="1" applyNumberFormat="1">
      <alignment horizontal="right" vertical="bottom"/>
    </xf>
    <xf borderId="5" fillId="0" fontId="3" numFmtId="0" xfId="0" applyAlignment="1" applyBorder="1" applyFont="1">
      <alignment readingOrder="0" vertical="bottom"/>
    </xf>
    <xf borderId="0" fillId="0" fontId="15" numFmtId="0" xfId="0" applyAlignment="1" applyFont="1">
      <alignment readingOrder="0" shrinkToFit="0" wrapText="1"/>
    </xf>
    <xf borderId="0" fillId="0" fontId="21" numFmtId="0" xfId="0" applyAlignment="1" applyFont="1">
      <alignment readingOrder="0"/>
    </xf>
    <xf borderId="5" fillId="0" fontId="3" numFmtId="49" xfId="0" applyAlignment="1" applyBorder="1" applyFont="1" applyNumberFormat="1">
      <alignment horizontal="right" readingOrder="0" shrinkToFit="0" wrapText="1"/>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rducam.com/cameras-for-raspberrypi/imx708-camera-module-3-for-pi.html" TargetMode="External"/><Relationship Id="rId2" Type="http://schemas.openxmlformats.org/officeDocument/2006/relationships/hyperlink" Target="https://bluerobotics.com/store/sensors-cameras/cameras/cam-usb-low-light-r1/" TargetMode="External"/><Relationship Id="rId3" Type="http://schemas.openxmlformats.org/officeDocument/2006/relationships/hyperlink" Target="https://www.hobbywater.com/products/diy-kit-camera-compatible-ardusub-raspberry-pi-imx322-sensor-200w-rov-usb-camera?srsltid=AfmBOooYxhqnP9PBH86m2Wk1RyTiwZtGrdLA-EOFeQ13m0fb5FzDgmNH" TargetMode="External"/><Relationship Id="rId4" Type="http://schemas.openxmlformats.org/officeDocument/2006/relationships/hyperlink" Target="https://www.logitech.com/en-us/shop/p/brio-100-webcam" TargetMode="External"/><Relationship Id="rId10" Type="http://schemas.openxmlformats.org/officeDocument/2006/relationships/drawing" Target="../drawings/drawing7.xml"/><Relationship Id="rId9" Type="http://schemas.openxmlformats.org/officeDocument/2006/relationships/hyperlink" Target="https://www.amazon.com/AKASO-EK7000-Sports-Waterproof-Camcorder/dp/B01HGM33HG/ref=asc_df_B01HGM33HG?tag=bingshoppinga-20&amp;linkCode=df0&amp;hvadid=80264400674225&amp;hvnetw=o&amp;hvqmt=e&amp;hvbmt=be&amp;hvdev=c&amp;hvlocint=&amp;hvlocphy=65831&amp;hvtargid=pla-4583863998947083&amp;th=1" TargetMode="External"/><Relationship Id="rId5" Type="http://schemas.openxmlformats.org/officeDocument/2006/relationships/hyperlink" Target="https://www.amazon.com/newline-Microphone-Streaming-Distortion-conferencing/dp/B0CXXTCH5L?th=1" TargetMode="External"/><Relationship Id="rId6" Type="http://schemas.openxmlformats.org/officeDocument/2006/relationships/hyperlink" Target="https://www.bhphotovideo.com/c/product/1786643-REG/logitech_960_001580_brio_100_full_hd.html" TargetMode="External"/><Relationship Id="rId7" Type="http://schemas.openxmlformats.org/officeDocument/2006/relationships/hyperlink" Target="https://bluerobotics.com/store/sensors-cameras/cameras/cam-usb-low-light-r1/" TargetMode="External"/><Relationship Id="rId8" Type="http://schemas.openxmlformats.org/officeDocument/2006/relationships/hyperlink" Target="https://www.amazon.com/IFWATER-5Megapixels-185Degree-Industrial-Monitoring/dp/B0FK9WG3FS/ref=sr_1_12_sspa?crid=9YCCQ046VFJ&amp;dib=eyJ2IjoiMSJ9.nMixWtI0mcFATNWViB2s8HcHWFpXcCdGmbgO2Pc36JbPNT5f4H-o85dUpXLGbBzSROKJD_15eo3FWj6qpb3ZfAtTqNnitgPpBo66UbLJDOK2sC6EkeAnMOdXs-JBsCaRB7_DDv9bYEmr_5u8n_Tux1u12F_0XNnmnYYAyzstt-n5mq9tOOl-S5nokn4dr00jetEMn-SFRF1bsVeYvcm3bHegV9NIVKy7IEWnGoZUOvxzDikIZH20ulUT_KtHR7DLT7qQhsFsRoL_wdw_JnzdVzq31BcGlStDojA_QqwnO_c.SBdmBeuQB3ljxj3NBNPmbsZcWTf7WguYYUqr8u03pX4&amp;dib_tag=se&amp;keywords=fisheye%2Bcamera&amp;qid=1761420196&amp;s=electronics&amp;sprefix=fisheye%2Celectronics%2C95&amp;sr=1-12-spons&amp;sp_csd=d2lkZ2V0TmFtZT1zcF9tdGY&amp;th=1"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poshmark.com/listing/Samsung-Gear-360-Real-360-High-Resolution-VR-Camera-622fb211c936af5052dcdd75?srsltid=AfmBOop9YafK3t3YOGwhmLX__emALsbL4v7iK8SEb3YbWQDr3dddKFzAHH8" TargetMode="External"/><Relationship Id="rId10" Type="http://schemas.openxmlformats.org/officeDocument/2006/relationships/hyperlink" Target="https://bluerobotics.com/store/sensors-cameras/cameras/cam-usb-low-light-r1/" TargetMode="External"/><Relationship Id="rId13" Type="http://schemas.openxmlformats.org/officeDocument/2006/relationships/hyperlink" Target="https://www.youtube.com/watch?v=dGTEUUPsk74" TargetMode="External"/><Relationship Id="rId12" Type="http://schemas.openxmlformats.org/officeDocument/2006/relationships/hyperlink" Target="https://www.youtube.com/watch?v=VIEGL-BoA3Q" TargetMode="External"/><Relationship Id="rId1" Type="http://schemas.openxmlformats.org/officeDocument/2006/relationships/hyperlink" Target="https://www.amazon.com/Insta360-Standard-Bundle-Waterproof-Stabilization/dp/B0DBQBMQH2?th=1" TargetMode="External"/><Relationship Id="rId2" Type="http://schemas.openxmlformats.org/officeDocument/2006/relationships/hyperlink" Target="https://www.amazon.com/Kodak-PIXPRO-SP360-Premier-Camera/dp/B01EABUA1I?th=1" TargetMode="External"/><Relationship Id="rId3" Type="http://schemas.openxmlformats.org/officeDocument/2006/relationships/hyperlink" Target="https://www.youtube.com/watch?v=dGTEUUPsk74" TargetMode="External"/><Relationship Id="rId4" Type="http://schemas.openxmlformats.org/officeDocument/2006/relationships/hyperlink" Target="https://www.youtube.com/watch?v=ChBPvB3KZMY" TargetMode="External"/><Relationship Id="rId9" Type="http://schemas.openxmlformats.org/officeDocument/2006/relationships/hyperlink" Target="https://www.walmart.com/ip/4K-Action-Camera-360-HD-Panoramic-Waterproof-Anti-shake-Thumb-Wearable-Portable-Mini-Camera-For-Work-Travel-Sports-Camera-Parts/17456454683?wmlspartner=wlpa&amp;selectedSellerId=102517327" TargetMode="External"/><Relationship Id="rId15" Type="http://schemas.openxmlformats.org/officeDocument/2006/relationships/hyperlink" Target="https://www.amazon.com/IFWATER-5Megapixels-185Degree-Industrial-Monitoring/dp/B0FK9WG3FS/ref=sr_1_12_sspa?crid=9YCCQ046VFJ&amp;dib=eyJ2IjoiMSJ9.nMixWtI0mcFATNWViB2s8HcHWFpXcCdGmbgO2Pc36JbPNT5f4H-o85dUpXLGbBzSROKJD_15eo3FWj6qpb3ZfAtTqNnitgPpBo66UbLJDOK2sC6EkeAnMOdXs-JBsCaRB7_DDv9bYEmr_5u8n_Tux1u12F_0XNnmnYYAyzstt-n5mq9tOOl-S5nokn4dr00jetEMn-SFRF1bsVeYvcm3bHegV9NIVKy7IEWnGoZUOvxzDikIZH20ulUT_KtHR7DLT7qQhsFsRoL_wdw_JnzdVzq31BcGlStDojA_QqwnO_c.SBdmBeuQB3ljxj3NBNPmbsZcWTf7WguYYUqr8u03pX4&amp;dib_tag=se&amp;keywords=fisheye%2Bcamera&amp;qid=1761420196&amp;s=electronics&amp;sprefix=fisheye%2Celectronics%2C95&amp;sr=1-12-spons&amp;sp_csd=d2lkZ2V0TmFtZT1zcF9tdGY&amp;th=1" TargetMode="External"/><Relationship Id="rId14" Type="http://schemas.openxmlformats.org/officeDocument/2006/relationships/hyperlink" Target="https://andymark.com/products/elp-fisheye-lens-camera" TargetMode="External"/><Relationship Id="rId16" Type="http://schemas.openxmlformats.org/officeDocument/2006/relationships/drawing" Target="../drawings/drawing8.xml"/><Relationship Id="rId5" Type="http://schemas.openxmlformats.org/officeDocument/2006/relationships/hyperlink" Target="https://poshmark.com/listing/Samsung-Gear-360-Real-360-High-Resolution-VR-Camera-622fb211c936af5052dcdd75?srsltid=AfmBOop9YafK3t3YOGwhmLX__emALsbL4v7iK8SEb3YbWQDr3dddKFzAHH8" TargetMode="External"/><Relationship Id="rId6" Type="http://schemas.openxmlformats.org/officeDocument/2006/relationships/hyperlink" Target="https://res.insta360.com/static/70093bf5f9bb8eb319b3b60e054ffb91/X4_UserManual_EN.pdf" TargetMode="External"/><Relationship Id="rId7" Type="http://schemas.openxmlformats.org/officeDocument/2006/relationships/hyperlink" Target="https://www.bhphotovideo.com/lit_files/152748.pdf" TargetMode="External"/><Relationship Id="rId8" Type="http://schemas.openxmlformats.org/officeDocument/2006/relationships/hyperlink" Target="https://www.amazon.com/Samsung-Resolution-Camera-Version-Warranty/dp/B01D9LVL3G?th=1" TargetMode="External"/></Relationships>
</file>

<file path=xl/worksheets/_rels/sheet9.xml.rels><?xml version="1.0" encoding="UTF-8" standalone="yes"?><Relationships xmlns="http://schemas.openxmlformats.org/package/2006/relationships"><Relationship Id="rId10" Type="http://schemas.openxmlformats.org/officeDocument/2006/relationships/drawing" Target="../drawings/drawing9.xml"/><Relationship Id="rId1" Type="http://schemas.openxmlformats.org/officeDocument/2006/relationships/hyperlink" Target="https://www.adafruit.com/product/4503?srsltid=AfmBOoqCiqt55zpF_YCKWMF5McegoiXjEy0Np1zuTZKrv76zFvSWRIPfblY" TargetMode="External"/><Relationship Id="rId2" Type="http://schemas.openxmlformats.org/officeDocument/2006/relationships/hyperlink" Target="https://cdn-shop.adafruit.com/product-files/4503/4503_LSM6DS3TR-C_datasheet.pdf" TargetMode="External"/><Relationship Id="rId3" Type="http://schemas.openxmlformats.org/officeDocument/2006/relationships/hyperlink" Target="https://www.elecrow.com/sysrox-imu-6dof-accelerometer-gyroscope-icm42688-spi-nano-sensor.html" TargetMode="External"/><Relationship Id="rId4" Type="http://schemas.openxmlformats.org/officeDocument/2006/relationships/hyperlink" Target="https://www.elecrow.com/media/qb/tmp/common/file/2024/06/ds-000347_icm-42688-p-datasheet_14.20.54_3234650156674211b4b196.pdf" TargetMode="External"/><Relationship Id="rId9" Type="http://schemas.openxmlformats.org/officeDocument/2006/relationships/hyperlink" Target="https://youtu.be/3mgSi0RkANc" TargetMode="External"/><Relationship Id="rId5" Type="http://schemas.openxmlformats.org/officeDocument/2006/relationships/hyperlink" Target="https://protosupplies.com/product/mpu-6050-gy-521-3-axis-accel-gryo-sensor-module/" TargetMode="External"/><Relationship Id="rId6" Type="http://schemas.openxmlformats.org/officeDocument/2006/relationships/hyperlink" Target="https://invensense.tdk.com/wp-content/uploads/2015/02/MPU-6000-Datasheet1.pdf" TargetMode="External"/><Relationship Id="rId7" Type="http://schemas.openxmlformats.org/officeDocument/2006/relationships/hyperlink" Target="https://cdn-shop.adafruit.com/product-files/4503/4503_LSM6DS3TR-C_datasheet.pdf" TargetMode="External"/><Relationship Id="rId8" Type="http://schemas.openxmlformats.org/officeDocument/2006/relationships/hyperlink" Target="https://cdn.sparkfun.com/assets/d/4/6/d/f/ism330dhcx_Datasheet.pd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bluerobotics.com/store/sensors-cameras/sensors/bar-depth-pressure-sensor/" TargetMode="External"/><Relationship Id="rId2" Type="http://schemas.openxmlformats.org/officeDocument/2006/relationships/hyperlink" Target="https://www.robotshop.com/products/bar02-ultra-high-resolution-10m-depth-pressure-sensor" TargetMode="External"/><Relationship Id="rId3" Type="http://schemas.openxmlformats.org/officeDocument/2006/relationships/hyperlink" Target="https://blu-sub.com/products/subsea-depth-sensor-m8" TargetMode="External"/><Relationship Id="rId4" Type="http://schemas.openxmlformats.org/officeDocument/2006/relationships/hyperlink" Target="https://www.amsys-sensor.com/" TargetMode="External"/><Relationship Id="rId5" Type="http://schemas.openxmlformats.org/officeDocument/2006/relationships/hyperlink" Target="https://www.adafruit.com/product/4258" TargetMode="External"/><Relationship Id="rId6" Type="http://schemas.openxmlformats.org/officeDocument/2006/relationships/hyperlink" Target="https://www.te.com/en/product-CAT-BLPS0017.html" TargetMode="External"/><Relationship Id="rId7" Type="http://schemas.openxmlformats.org/officeDocument/2006/relationships/hyperlink" Target="https://www.te.com/en/product-CAT-BLPS0059.html?&amp;type=products&amp;q=MS5837&amp;n=135117" TargetMode="External"/><Relationship Id="rId8"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0</v>
      </c>
      <c r="B1" s="2"/>
      <c r="C1" s="2"/>
      <c r="D1" s="2"/>
      <c r="E1" s="2"/>
      <c r="F1" s="2"/>
      <c r="G1" s="3"/>
      <c r="H1" s="4"/>
      <c r="I1" s="4"/>
      <c r="J1" s="4"/>
    </row>
    <row r="2" ht="15.75" customHeight="1">
      <c r="A2" s="5" t="s">
        <v>1</v>
      </c>
      <c r="B2" s="6" t="s">
        <v>2</v>
      </c>
      <c r="C2" s="6" t="s">
        <v>3</v>
      </c>
      <c r="D2" s="6" t="s">
        <v>4</v>
      </c>
      <c r="E2" s="7" t="s">
        <v>5</v>
      </c>
      <c r="F2" s="7" t="s">
        <v>6</v>
      </c>
      <c r="G2" s="7" t="s">
        <v>7</v>
      </c>
      <c r="H2" s="4"/>
      <c r="I2" s="8" t="s">
        <v>8</v>
      </c>
    </row>
    <row r="3" ht="15.75" customHeight="1">
      <c r="A3" s="9" t="s">
        <v>9</v>
      </c>
      <c r="B3" s="10" t="s">
        <v>10</v>
      </c>
      <c r="C3" s="11" t="s">
        <v>11</v>
      </c>
      <c r="D3" s="12">
        <v>0.25</v>
      </c>
      <c r="E3" s="13"/>
      <c r="F3" s="14"/>
      <c r="G3" s="13"/>
      <c r="H3" s="4"/>
      <c r="I3" s="4"/>
      <c r="J3" s="4"/>
    </row>
    <row r="4" ht="15.75" customHeight="1">
      <c r="A4" s="9" t="s">
        <v>12</v>
      </c>
      <c r="B4" s="10" t="s">
        <v>13</v>
      </c>
      <c r="C4" s="11" t="s">
        <v>11</v>
      </c>
      <c r="D4" s="12">
        <v>0.25</v>
      </c>
      <c r="E4" s="13"/>
      <c r="F4" s="14"/>
      <c r="G4" s="13"/>
      <c r="H4" s="4"/>
      <c r="I4" s="4"/>
      <c r="J4" s="4"/>
    </row>
    <row r="5" ht="15.75" customHeight="1">
      <c r="A5" s="9" t="s">
        <v>14</v>
      </c>
      <c r="B5" s="10" t="s">
        <v>15</v>
      </c>
      <c r="C5" s="11" t="s">
        <v>11</v>
      </c>
      <c r="D5" s="12">
        <v>0.25</v>
      </c>
      <c r="E5" s="13"/>
      <c r="F5" s="14"/>
      <c r="G5" s="13"/>
      <c r="H5" s="4"/>
      <c r="I5" s="4"/>
      <c r="J5" s="4"/>
    </row>
    <row r="6" ht="15.75" customHeight="1">
      <c r="A6" s="9" t="s">
        <v>16</v>
      </c>
      <c r="B6" s="10" t="s">
        <v>17</v>
      </c>
      <c r="C6" s="11" t="s">
        <v>11</v>
      </c>
      <c r="D6" s="12">
        <v>0.25</v>
      </c>
      <c r="E6" s="13"/>
      <c r="F6" s="14"/>
      <c r="G6" s="13"/>
      <c r="H6" s="4"/>
      <c r="I6" s="4"/>
      <c r="J6" s="4"/>
    </row>
    <row r="7" ht="15.75" customHeight="1">
      <c r="A7" s="15"/>
      <c r="B7" s="13"/>
      <c r="C7" s="16" t="s">
        <v>18</v>
      </c>
      <c r="D7" s="17">
        <f>SUM(D3:D6)</f>
        <v>1</v>
      </c>
      <c r="E7" s="18">
        <f t="shared" ref="E7:G7" si="1">SUM((E3*$D$3)+(E4*$D$4)+(E5*$D$5)+(E6*$D$6))/10</f>
        <v>0</v>
      </c>
      <c r="F7" s="18">
        <f t="shared" si="1"/>
        <v>0</v>
      </c>
      <c r="G7" s="18">
        <f t="shared" si="1"/>
        <v>0</v>
      </c>
      <c r="H7" s="4"/>
      <c r="I7" s="4"/>
      <c r="J7" s="4"/>
    </row>
    <row r="8" ht="15.75" customHeight="1">
      <c r="A8" s="4"/>
      <c r="B8" s="4"/>
      <c r="C8" s="4"/>
      <c r="D8" s="19" t="s">
        <v>19</v>
      </c>
      <c r="E8" s="4"/>
      <c r="F8" s="4"/>
      <c r="G8" s="4"/>
      <c r="H8" s="4"/>
      <c r="I8" s="4"/>
      <c r="J8" s="4"/>
    </row>
    <row r="9" ht="15.75" customHeight="1"/>
    <row r="10" ht="15.75" customHeight="1">
      <c r="A10" s="20" t="s">
        <v>20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I2:J2"/>
    <mergeCell ref="A10:C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21</v>
      </c>
      <c r="B1" s="2"/>
      <c r="C1" s="2"/>
      <c r="D1" s="2"/>
      <c r="E1" s="2"/>
      <c r="F1" s="2"/>
      <c r="G1" s="3"/>
      <c r="H1" s="4"/>
      <c r="I1" s="4"/>
      <c r="J1" s="4"/>
    </row>
    <row r="2" ht="15.75" customHeight="1">
      <c r="A2" s="21" t="s">
        <v>22</v>
      </c>
      <c r="B2" s="22" t="s">
        <v>23</v>
      </c>
      <c r="C2" s="22" t="s">
        <v>24</v>
      </c>
      <c r="D2" s="22" t="s">
        <v>25</v>
      </c>
      <c r="E2" s="23" t="s">
        <v>26</v>
      </c>
      <c r="F2" s="23" t="s">
        <v>27</v>
      </c>
      <c r="G2" s="23" t="s">
        <v>28</v>
      </c>
      <c r="H2" s="4"/>
      <c r="I2" s="8" t="s">
        <v>29</v>
      </c>
    </row>
    <row r="3" ht="15.75" customHeight="1">
      <c r="A3" s="24" t="s">
        <v>30</v>
      </c>
      <c r="B3" s="25" t="s">
        <v>31</v>
      </c>
      <c r="C3" s="26" t="s">
        <v>32</v>
      </c>
      <c r="D3" s="27">
        <v>0.4</v>
      </c>
      <c r="E3" s="28">
        <v>1.0</v>
      </c>
      <c r="F3" s="29" t="s">
        <v>33</v>
      </c>
      <c r="G3" s="28">
        <v>10.0</v>
      </c>
      <c r="H3" s="4"/>
      <c r="I3" s="4"/>
      <c r="J3" s="4"/>
    </row>
    <row r="4" ht="15.75" customHeight="1">
      <c r="A4" s="24" t="s">
        <v>34</v>
      </c>
      <c r="B4" s="25" t="s">
        <v>35</v>
      </c>
      <c r="C4" s="11" t="s">
        <v>11</v>
      </c>
      <c r="D4" s="27">
        <v>0.25</v>
      </c>
      <c r="E4" s="28">
        <v>10.0</v>
      </c>
      <c r="F4" s="29" t="s">
        <v>36</v>
      </c>
      <c r="G4" s="28">
        <v>4.0</v>
      </c>
      <c r="H4" s="4"/>
      <c r="I4" s="4"/>
      <c r="J4" s="4"/>
    </row>
    <row r="5" ht="15.75" customHeight="1">
      <c r="A5" s="24" t="s">
        <v>37</v>
      </c>
      <c r="B5" s="25" t="s">
        <v>38</v>
      </c>
      <c r="C5" s="11" t="s">
        <v>11</v>
      </c>
      <c r="D5" s="27">
        <v>0.35</v>
      </c>
      <c r="E5" s="28">
        <v>5.0</v>
      </c>
      <c r="F5" s="29" t="s">
        <v>39</v>
      </c>
      <c r="G5" s="28">
        <v>8.0</v>
      </c>
      <c r="H5" s="4"/>
      <c r="I5" s="4"/>
      <c r="J5" s="4"/>
    </row>
    <row r="6" ht="15.75" customHeight="1">
      <c r="A6" s="15"/>
      <c r="B6" s="13"/>
      <c r="C6" s="16" t="s">
        <v>18</v>
      </c>
      <c r="D6" s="17">
        <f>SUM(D3:D5)</f>
        <v>1</v>
      </c>
      <c r="E6" s="18">
        <f t="shared" ref="E6:G6" si="1">SUM((E3*$D$3)+(E4*$D$4)+(E5*$D$5))/10</f>
        <v>0.465</v>
      </c>
      <c r="F6" s="18">
        <f t="shared" si="1"/>
        <v>0.775</v>
      </c>
      <c r="G6" s="18">
        <f t="shared" si="1"/>
        <v>0.78</v>
      </c>
      <c r="H6" s="4"/>
      <c r="I6" s="4"/>
      <c r="J6" s="4"/>
    </row>
    <row r="7" ht="15.75" customHeight="1">
      <c r="A7" s="4"/>
      <c r="B7" s="4"/>
      <c r="C7" s="4"/>
      <c r="D7" s="19"/>
      <c r="E7" s="4"/>
      <c r="F7" s="4"/>
      <c r="G7" s="4"/>
      <c r="H7" s="4"/>
      <c r="I7" s="4"/>
      <c r="J7" s="4"/>
    </row>
    <row r="8" ht="15.75" customHeight="1"/>
    <row r="9" ht="15.75" customHeight="1">
      <c r="A9" s="20" t="s">
        <v>20</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G1"/>
    <mergeCell ref="I2:J2"/>
    <mergeCell ref="A9:C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6.63"/>
    <col customWidth="1" min="5" max="6" width="12.63"/>
    <col customWidth="1" min="8" max="8" width="13.25"/>
  </cols>
  <sheetData>
    <row r="1" ht="15.75" customHeight="1">
      <c r="A1" s="30" t="s">
        <v>40</v>
      </c>
      <c r="B1" s="2"/>
      <c r="C1" s="2"/>
      <c r="D1" s="2"/>
      <c r="E1" s="2"/>
      <c r="F1" s="2"/>
      <c r="G1" s="3"/>
      <c r="H1" s="4"/>
      <c r="I1" s="4"/>
      <c r="J1" s="4"/>
    </row>
    <row r="2" ht="15.75" customHeight="1">
      <c r="A2" s="31" t="s">
        <v>22</v>
      </c>
      <c r="B2" s="32" t="s">
        <v>23</v>
      </c>
      <c r="C2" s="32" t="s">
        <v>24</v>
      </c>
      <c r="D2" s="32" t="s">
        <v>25</v>
      </c>
      <c r="E2" s="33" t="s">
        <v>41</v>
      </c>
      <c r="F2" s="33" t="s">
        <v>42</v>
      </c>
      <c r="G2" s="33" t="s">
        <v>43</v>
      </c>
      <c r="H2" s="34"/>
      <c r="I2" s="35"/>
      <c r="J2" s="35"/>
    </row>
    <row r="3" ht="15.75" customHeight="1">
      <c r="A3" s="9" t="s">
        <v>44</v>
      </c>
      <c r="B3" s="10" t="s">
        <v>45</v>
      </c>
      <c r="C3" s="11" t="s">
        <v>11</v>
      </c>
      <c r="D3" s="12">
        <v>0.225</v>
      </c>
      <c r="E3" s="36">
        <v>7.0</v>
      </c>
      <c r="F3" s="37" t="s">
        <v>39</v>
      </c>
      <c r="G3" s="36">
        <v>9.0</v>
      </c>
      <c r="H3" s="38" t="s">
        <v>46</v>
      </c>
      <c r="I3" s="4"/>
      <c r="J3" s="4"/>
    </row>
    <row r="4" ht="15.75" customHeight="1">
      <c r="A4" s="9" t="s">
        <v>47</v>
      </c>
      <c r="B4" s="10" t="s">
        <v>48</v>
      </c>
      <c r="C4" s="11" t="s">
        <v>11</v>
      </c>
      <c r="D4" s="12">
        <v>0.22</v>
      </c>
      <c r="E4" s="36">
        <v>6.0</v>
      </c>
      <c r="F4" s="37" t="s">
        <v>49</v>
      </c>
      <c r="G4" s="36">
        <v>8.0</v>
      </c>
      <c r="H4" s="4"/>
      <c r="I4" s="4"/>
      <c r="J4" s="4"/>
    </row>
    <row r="5" ht="15.75" customHeight="1">
      <c r="A5" s="9" t="s">
        <v>50</v>
      </c>
      <c r="B5" s="39" t="s">
        <v>51</v>
      </c>
      <c r="C5" s="11" t="s">
        <v>11</v>
      </c>
      <c r="D5" s="12">
        <v>0.25</v>
      </c>
      <c r="E5" s="36">
        <v>9.0</v>
      </c>
      <c r="F5" s="37" t="s">
        <v>52</v>
      </c>
      <c r="G5" s="36">
        <v>8.0</v>
      </c>
      <c r="H5" s="4"/>
      <c r="I5" s="4"/>
      <c r="J5" s="4"/>
    </row>
    <row r="6" ht="15.75" customHeight="1">
      <c r="A6" s="9" t="s">
        <v>53</v>
      </c>
      <c r="B6" s="10" t="s">
        <v>54</v>
      </c>
      <c r="C6" s="11" t="s">
        <v>11</v>
      </c>
      <c r="D6" s="12">
        <v>0.2</v>
      </c>
      <c r="E6" s="36">
        <v>7.0</v>
      </c>
      <c r="F6" s="37" t="s">
        <v>49</v>
      </c>
      <c r="G6" s="36">
        <v>8.0</v>
      </c>
      <c r="H6" s="4"/>
      <c r="I6" s="4"/>
      <c r="J6" s="4"/>
    </row>
    <row r="7" ht="15.75" customHeight="1">
      <c r="A7" s="9" t="s">
        <v>55</v>
      </c>
      <c r="B7" s="10" t="s">
        <v>56</v>
      </c>
      <c r="C7" s="11" t="s">
        <v>11</v>
      </c>
      <c r="D7" s="12">
        <v>0.1</v>
      </c>
      <c r="E7" s="36">
        <v>8.0</v>
      </c>
      <c r="F7" s="37" t="s">
        <v>57</v>
      </c>
      <c r="G7" s="36">
        <v>7.0</v>
      </c>
      <c r="H7" s="4"/>
      <c r="I7" s="4"/>
      <c r="J7" s="4"/>
    </row>
    <row r="8" ht="15.75" customHeight="1">
      <c r="A8" s="15"/>
      <c r="B8" s="13"/>
      <c r="C8" s="16" t="s">
        <v>18</v>
      </c>
      <c r="D8" s="17">
        <f>SUM(D3:D7)</f>
        <v>0.995</v>
      </c>
      <c r="E8" s="40">
        <f t="shared" ref="E8:G8" si="1">SUM((E3*$D$3)+(E4*$D$4)+(E5*$D$5)+(E6*$D$6)+(E7*$D$7))/10</f>
        <v>0.7345</v>
      </c>
      <c r="F8" s="41">
        <f t="shared" si="1"/>
        <v>0.7255</v>
      </c>
      <c r="G8" s="18">
        <f t="shared" si="1"/>
        <v>0.8085</v>
      </c>
      <c r="H8" s="4"/>
      <c r="I8" s="4"/>
      <c r="J8" s="4"/>
    </row>
    <row r="9" ht="15.75" customHeight="1"/>
    <row r="10" ht="15.75" customHeight="1">
      <c r="A10" s="20"/>
      <c r="B10" s="20"/>
      <c r="C10" s="20"/>
    </row>
    <row r="11" ht="15.75" customHeight="1">
      <c r="A11" s="20"/>
      <c r="B11" s="20"/>
      <c r="C11" s="20"/>
    </row>
    <row r="12" ht="15.75" customHeight="1">
      <c r="A12" s="20"/>
      <c r="B12" s="20"/>
      <c r="C12" s="20"/>
    </row>
    <row r="13" ht="15.75" customHeight="1">
      <c r="A13" s="20"/>
      <c r="B13" s="20"/>
      <c r="C13" s="20"/>
    </row>
    <row r="14" ht="15.75" customHeight="1">
      <c r="A14" s="20"/>
      <c r="B14" s="20"/>
      <c r="C14" s="20"/>
    </row>
    <row r="15" ht="15.75" customHeight="1">
      <c r="A15" s="20"/>
      <c r="B15" s="20"/>
      <c r="C15" s="20"/>
    </row>
    <row r="16" ht="15.75" customHeight="1">
      <c r="A16" s="20"/>
      <c r="B16" s="20"/>
      <c r="C16" s="20"/>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20.38"/>
    <col customWidth="1" min="4" max="4" width="17.75"/>
    <col customWidth="1" min="5" max="6" width="12.63"/>
    <col customWidth="1" min="7" max="7" width="14.63"/>
  </cols>
  <sheetData>
    <row r="1" ht="15.75" customHeight="1">
      <c r="A1" s="1" t="s">
        <v>58</v>
      </c>
      <c r="B1" s="2"/>
      <c r="C1" s="2"/>
      <c r="D1" s="2"/>
      <c r="E1" s="2"/>
      <c r="F1" s="2"/>
      <c r="G1" s="3"/>
      <c r="H1" s="42" t="s">
        <v>59</v>
      </c>
      <c r="I1" s="4"/>
      <c r="J1" s="4"/>
    </row>
    <row r="2" ht="15.75" customHeight="1">
      <c r="A2" s="5" t="s">
        <v>60</v>
      </c>
      <c r="B2" s="6" t="s">
        <v>61</v>
      </c>
      <c r="C2" s="6" t="s">
        <v>62</v>
      </c>
      <c r="D2" s="6" t="s">
        <v>63</v>
      </c>
      <c r="E2" s="43" t="s">
        <v>64</v>
      </c>
      <c r="F2" s="43" t="s">
        <v>65</v>
      </c>
      <c r="G2" s="43" t="s">
        <v>66</v>
      </c>
      <c r="H2" s="4"/>
      <c r="I2" s="8" t="s">
        <v>67</v>
      </c>
    </row>
    <row r="3" ht="15.75" customHeight="1">
      <c r="A3" s="44" t="s">
        <v>68</v>
      </c>
      <c r="B3" s="25" t="s">
        <v>69</v>
      </c>
      <c r="C3" s="11" t="s">
        <v>11</v>
      </c>
      <c r="D3" s="27">
        <v>0.35</v>
      </c>
      <c r="E3" s="45">
        <v>8.0</v>
      </c>
      <c r="F3" s="46" t="s">
        <v>33</v>
      </c>
      <c r="G3" s="45">
        <v>8.0</v>
      </c>
      <c r="H3" s="4"/>
      <c r="I3" s="4"/>
      <c r="J3" s="4"/>
    </row>
    <row r="4" ht="15.75" customHeight="1">
      <c r="A4" s="24" t="s">
        <v>70</v>
      </c>
      <c r="B4" s="25" t="s">
        <v>71</v>
      </c>
      <c r="C4" s="11" t="s">
        <v>11</v>
      </c>
      <c r="D4" s="27">
        <v>0.2</v>
      </c>
      <c r="E4" s="45">
        <v>8.0</v>
      </c>
      <c r="F4" s="46" t="s">
        <v>33</v>
      </c>
      <c r="G4" s="45">
        <v>10.0</v>
      </c>
      <c r="H4" s="4"/>
      <c r="I4" s="4"/>
      <c r="J4" s="4"/>
    </row>
    <row r="5" ht="15.75" customHeight="1">
      <c r="A5" s="24" t="s">
        <v>72</v>
      </c>
      <c r="B5" s="25" t="s">
        <v>73</v>
      </c>
      <c r="C5" s="11" t="s">
        <v>11</v>
      </c>
      <c r="D5" s="27">
        <v>0.3</v>
      </c>
      <c r="E5" s="45">
        <v>7.0</v>
      </c>
      <c r="F5" s="46" t="s">
        <v>33</v>
      </c>
      <c r="G5" s="45">
        <v>9.0</v>
      </c>
      <c r="H5" s="4"/>
      <c r="I5" s="4"/>
      <c r="J5" s="4"/>
    </row>
    <row r="6" ht="15.75" customHeight="1">
      <c r="A6" s="24" t="s">
        <v>55</v>
      </c>
      <c r="B6" s="25" t="s">
        <v>74</v>
      </c>
      <c r="C6" s="11" t="s">
        <v>11</v>
      </c>
      <c r="D6" s="27">
        <v>0.15</v>
      </c>
      <c r="E6" s="45">
        <v>10.0</v>
      </c>
      <c r="F6" s="46" t="s">
        <v>57</v>
      </c>
      <c r="G6" s="45">
        <v>8.0</v>
      </c>
      <c r="H6" s="4"/>
      <c r="I6" s="4"/>
      <c r="J6" s="4"/>
    </row>
    <row r="7" ht="15.75" customHeight="1">
      <c r="A7" s="15"/>
      <c r="B7" s="13"/>
      <c r="C7" s="16" t="s">
        <v>18</v>
      </c>
      <c r="D7" s="17">
        <f>SUM(D3:D6)</f>
        <v>1</v>
      </c>
      <c r="E7" s="18">
        <f t="shared" ref="E7:G7" si="1">SUM((E3*$D$3)+(E4*$D$4)+(E5*$D$5)+(E6*$D$6))/10</f>
        <v>0.8</v>
      </c>
      <c r="F7" s="18">
        <f t="shared" si="1"/>
        <v>0.94</v>
      </c>
      <c r="G7" s="18">
        <f t="shared" si="1"/>
        <v>0.87</v>
      </c>
      <c r="H7" s="4"/>
      <c r="I7" s="4"/>
      <c r="J7" s="4"/>
    </row>
    <row r="8" ht="15.75" customHeight="1">
      <c r="A8" s="20"/>
      <c r="D8" s="19"/>
      <c r="E8" s="4"/>
      <c r="F8" s="4"/>
      <c r="G8" s="4"/>
      <c r="H8" s="4"/>
      <c r="I8" s="4"/>
      <c r="J8" s="4"/>
    </row>
    <row r="9" ht="15.75" customHeight="1"/>
    <row r="10" ht="15.75" customHeight="1"/>
    <row r="11" ht="15.75" customHeight="1"/>
    <row r="12" ht="15.75" customHeight="1"/>
    <row r="13" ht="15.75" customHeight="1"/>
    <row r="14" ht="15.75" customHeight="1"/>
    <row r="15" ht="15.75" customHeight="1">
      <c r="A15" s="1" t="s">
        <v>75</v>
      </c>
      <c r="B15" s="2"/>
      <c r="C15" s="2"/>
      <c r="D15" s="2"/>
      <c r="E15" s="2"/>
      <c r="F15" s="2"/>
      <c r="G15" s="2"/>
      <c r="H15" s="3"/>
    </row>
    <row r="16" ht="15.75" customHeight="1">
      <c r="A16" s="21" t="s">
        <v>76</v>
      </c>
      <c r="B16" s="22" t="s">
        <v>77</v>
      </c>
      <c r="C16" s="22" t="s">
        <v>78</v>
      </c>
      <c r="D16" s="22" t="s">
        <v>44</v>
      </c>
      <c r="E16" s="47" t="s">
        <v>79</v>
      </c>
      <c r="F16" s="48" t="s">
        <v>80</v>
      </c>
      <c r="G16" s="49" t="s">
        <v>81</v>
      </c>
      <c r="H16" s="49" t="s">
        <v>82</v>
      </c>
      <c r="I16" s="50"/>
      <c r="J16" s="50"/>
      <c r="K16" s="50"/>
    </row>
    <row r="17" ht="15.75" customHeight="1">
      <c r="A17" s="44" t="s">
        <v>55</v>
      </c>
      <c r="B17" s="25" t="s">
        <v>83</v>
      </c>
      <c r="C17" s="26" t="s">
        <v>84</v>
      </c>
      <c r="D17" s="27">
        <v>0.15</v>
      </c>
      <c r="E17" s="28">
        <v>10.0</v>
      </c>
      <c r="F17" s="46" t="s">
        <v>52</v>
      </c>
      <c r="G17" s="28">
        <v>10.0</v>
      </c>
      <c r="H17" s="28">
        <v>7.0</v>
      </c>
    </row>
    <row r="18" ht="15.75" customHeight="1">
      <c r="A18" s="24" t="s">
        <v>85</v>
      </c>
      <c r="B18" s="25" t="s">
        <v>86</v>
      </c>
      <c r="C18" s="11" t="s">
        <v>11</v>
      </c>
      <c r="D18" s="27">
        <v>0.15</v>
      </c>
      <c r="E18" s="28">
        <v>10.0</v>
      </c>
      <c r="F18" s="46" t="s">
        <v>57</v>
      </c>
      <c r="G18" s="28">
        <v>7.0</v>
      </c>
      <c r="H18" s="28">
        <v>10.0</v>
      </c>
    </row>
    <row r="19" ht="15.75" customHeight="1">
      <c r="A19" s="24" t="s">
        <v>87</v>
      </c>
      <c r="B19" s="25" t="s">
        <v>88</v>
      </c>
      <c r="C19" s="11" t="s">
        <v>11</v>
      </c>
      <c r="D19" s="27">
        <v>0.2</v>
      </c>
      <c r="E19" s="28">
        <v>10.0</v>
      </c>
      <c r="F19" s="46" t="s">
        <v>39</v>
      </c>
      <c r="G19" s="28">
        <v>10.0</v>
      </c>
      <c r="H19" s="28">
        <v>10.0</v>
      </c>
    </row>
    <row r="20" ht="15.75" customHeight="1">
      <c r="A20" s="24" t="s">
        <v>89</v>
      </c>
      <c r="B20" s="25" t="s">
        <v>90</v>
      </c>
      <c r="C20" s="26" t="s">
        <v>91</v>
      </c>
      <c r="D20" s="27">
        <v>0.2</v>
      </c>
      <c r="E20" s="28">
        <v>8.0</v>
      </c>
      <c r="F20" s="46" t="s">
        <v>33</v>
      </c>
      <c r="G20" s="28">
        <v>8.0</v>
      </c>
      <c r="H20" s="28">
        <v>8.0</v>
      </c>
    </row>
    <row r="21" ht="15.75" customHeight="1">
      <c r="A21" s="24" t="s">
        <v>92</v>
      </c>
      <c r="B21" s="25" t="s">
        <v>93</v>
      </c>
      <c r="C21" s="26" t="s">
        <v>94</v>
      </c>
      <c r="D21" s="27">
        <v>0.3</v>
      </c>
      <c r="E21" s="28">
        <v>5.0</v>
      </c>
      <c r="F21" s="46" t="s">
        <v>33</v>
      </c>
      <c r="G21" s="28">
        <v>5.0</v>
      </c>
      <c r="H21" s="28">
        <v>10.0</v>
      </c>
    </row>
    <row r="22" ht="15.75" customHeight="1">
      <c r="A22" s="15"/>
      <c r="B22" s="13"/>
      <c r="C22" s="16" t="s">
        <v>18</v>
      </c>
      <c r="D22" s="17">
        <f>SUM(D17:D21)</f>
        <v>1</v>
      </c>
      <c r="E22" s="18">
        <f t="shared" ref="E22:H22" si="2">SUM((E17*$D$17)+(E18*$D$18)+(E19*$D$19)+(E20*$D$20)+(E21*$D$21))/10</f>
        <v>0.81</v>
      </c>
      <c r="F22" s="18">
        <f t="shared" si="2"/>
        <v>0.795</v>
      </c>
      <c r="G22" s="18">
        <f t="shared" si="2"/>
        <v>0.765</v>
      </c>
      <c r="H22" s="18">
        <f t="shared" si="2"/>
        <v>0.915</v>
      </c>
    </row>
    <row r="23" ht="15.75" customHeight="1"/>
    <row r="24" ht="15.75" customHeight="1"/>
    <row r="25" ht="15.75" customHeight="1">
      <c r="A25" s="51" t="s">
        <v>95</v>
      </c>
      <c r="B25" s="2"/>
      <c r="C25" s="2"/>
      <c r="D25" s="2"/>
      <c r="E25" s="2"/>
      <c r="F25" s="2"/>
      <c r="G25" s="3"/>
      <c r="H25" s="42" t="s">
        <v>96</v>
      </c>
    </row>
    <row r="26" ht="15.75" customHeight="1">
      <c r="A26" s="52" t="s">
        <v>76</v>
      </c>
      <c r="B26" s="53" t="s">
        <v>77</v>
      </c>
      <c r="C26" s="53" t="s">
        <v>78</v>
      </c>
      <c r="D26" s="53" t="s">
        <v>44</v>
      </c>
      <c r="E26" s="54"/>
      <c r="F26" s="54"/>
      <c r="G26" s="54"/>
    </row>
    <row r="27" ht="15.75" customHeight="1">
      <c r="A27" s="55" t="s">
        <v>97</v>
      </c>
      <c r="B27" s="56"/>
      <c r="C27" s="11" t="s">
        <v>11</v>
      </c>
      <c r="D27" s="57"/>
      <c r="E27" s="58"/>
      <c r="F27" s="59"/>
      <c r="G27" s="58"/>
    </row>
    <row r="28" ht="15.75" customHeight="1">
      <c r="A28" s="60" t="s">
        <v>87</v>
      </c>
      <c r="B28" s="56"/>
      <c r="C28" s="11" t="s">
        <v>11</v>
      </c>
      <c r="D28" s="57"/>
      <c r="E28" s="58"/>
      <c r="F28" s="59"/>
      <c r="G28" s="58"/>
    </row>
    <row r="29" ht="15.75" customHeight="1">
      <c r="A29" s="60" t="s">
        <v>98</v>
      </c>
      <c r="B29" s="56"/>
      <c r="C29" s="11" t="s">
        <v>11</v>
      </c>
      <c r="D29" s="61"/>
      <c r="E29" s="58"/>
      <c r="F29" s="59"/>
      <c r="G29" s="58"/>
    </row>
    <row r="30" ht="15.75" customHeight="1">
      <c r="A30" s="60" t="s">
        <v>99</v>
      </c>
      <c r="B30" s="56"/>
      <c r="C30" s="11" t="s">
        <v>11</v>
      </c>
      <c r="D30" s="57"/>
      <c r="E30" s="58"/>
      <c r="F30" s="59"/>
      <c r="G30" s="58"/>
    </row>
    <row r="31" ht="15.75" customHeight="1">
      <c r="A31" s="60" t="s">
        <v>55</v>
      </c>
      <c r="B31" s="56"/>
      <c r="C31" s="11" t="s">
        <v>11</v>
      </c>
      <c r="D31" s="57"/>
      <c r="E31" s="58"/>
      <c r="F31" s="59"/>
      <c r="G31" s="58"/>
    </row>
    <row r="32" ht="15.75" customHeight="1">
      <c r="A32" s="60" t="s">
        <v>100</v>
      </c>
      <c r="B32" s="56"/>
      <c r="C32" s="11" t="s">
        <v>11</v>
      </c>
      <c r="D32" s="57"/>
      <c r="E32" s="58"/>
      <c r="F32" s="59"/>
      <c r="G32" s="58"/>
    </row>
    <row r="33" ht="15.75" customHeight="1">
      <c r="A33" s="62"/>
      <c r="B33" s="58"/>
      <c r="C33" s="63" t="s">
        <v>18</v>
      </c>
      <c r="D33" s="64">
        <f>SUM(D27:D32)</f>
        <v>0</v>
      </c>
      <c r="E33" s="65">
        <f t="shared" ref="E33:G33" si="3">SUM((E27*$D$3)+(E28*$D$4)+(E29*$D$5)+(E32*$D$6))/10</f>
        <v>0</v>
      </c>
      <c r="F33" s="65">
        <f t="shared" si="3"/>
        <v>0</v>
      </c>
      <c r="G33" s="65">
        <f t="shared" si="3"/>
        <v>0</v>
      </c>
    </row>
    <row r="34" ht="15.75" customHeight="1"/>
    <row r="35" ht="15.75" customHeight="1"/>
    <row r="36" ht="15.75" customHeight="1">
      <c r="A36" s="51" t="s">
        <v>101</v>
      </c>
      <c r="B36" s="2"/>
      <c r="C36" s="2"/>
      <c r="D36" s="2"/>
      <c r="E36" s="2"/>
      <c r="F36" s="2"/>
      <c r="G36" s="3"/>
    </row>
    <row r="37" ht="15.75" customHeight="1">
      <c r="A37" s="52" t="s">
        <v>76</v>
      </c>
      <c r="B37" s="53" t="s">
        <v>77</v>
      </c>
      <c r="C37" s="53" t="s">
        <v>78</v>
      </c>
      <c r="D37" s="53" t="s">
        <v>44</v>
      </c>
      <c r="E37" s="66" t="s">
        <v>102</v>
      </c>
      <c r="F37" s="66" t="s">
        <v>103</v>
      </c>
      <c r="G37" s="66" t="s">
        <v>104</v>
      </c>
    </row>
    <row r="38" ht="15.75" customHeight="1">
      <c r="A38" s="55" t="s">
        <v>105</v>
      </c>
      <c r="B38" s="67" t="s">
        <v>106</v>
      </c>
      <c r="C38" s="26" t="s">
        <v>107</v>
      </c>
      <c r="D38" s="61">
        <v>0.2</v>
      </c>
      <c r="E38" s="68">
        <v>10.0</v>
      </c>
      <c r="F38" s="69" t="s">
        <v>36</v>
      </c>
      <c r="G38" s="68">
        <v>5.0</v>
      </c>
    </row>
    <row r="39" ht="15.75" customHeight="1">
      <c r="A39" s="60" t="s">
        <v>55</v>
      </c>
      <c r="B39" s="67" t="s">
        <v>108</v>
      </c>
      <c r="C39" s="26" t="s">
        <v>109</v>
      </c>
      <c r="D39" s="61">
        <v>0.15</v>
      </c>
      <c r="E39" s="68">
        <v>10.0</v>
      </c>
      <c r="F39" s="69" t="s">
        <v>36</v>
      </c>
      <c r="G39" s="68">
        <v>10.0</v>
      </c>
    </row>
    <row r="40" ht="15.75" customHeight="1">
      <c r="A40" s="60" t="s">
        <v>110</v>
      </c>
      <c r="B40" s="67" t="s">
        <v>111</v>
      </c>
      <c r="C40" s="26" t="s">
        <v>112</v>
      </c>
      <c r="D40" s="61">
        <v>0.05</v>
      </c>
      <c r="E40" s="68">
        <v>10.0</v>
      </c>
      <c r="F40" s="69" t="s">
        <v>33</v>
      </c>
      <c r="G40" s="68">
        <v>0.0</v>
      </c>
    </row>
    <row r="41" ht="15.75" customHeight="1">
      <c r="A41" s="60" t="s">
        <v>113</v>
      </c>
      <c r="B41" s="67" t="s">
        <v>114</v>
      </c>
      <c r="C41" s="26" t="s">
        <v>115</v>
      </c>
      <c r="D41" s="61">
        <v>0.3</v>
      </c>
      <c r="E41" s="68">
        <v>10.0</v>
      </c>
      <c r="F41" s="69" t="s">
        <v>33</v>
      </c>
      <c r="G41" s="68">
        <v>0.0</v>
      </c>
    </row>
    <row r="42" ht="15.75" customHeight="1">
      <c r="A42" s="60" t="s">
        <v>116</v>
      </c>
      <c r="B42" s="67" t="s">
        <v>117</v>
      </c>
      <c r="C42" s="26" t="s">
        <v>118</v>
      </c>
      <c r="D42" s="61">
        <v>0.15</v>
      </c>
      <c r="E42" s="68">
        <v>10.0</v>
      </c>
      <c r="F42" s="69" t="s">
        <v>36</v>
      </c>
      <c r="G42" s="68">
        <v>0.0</v>
      </c>
    </row>
    <row r="43" ht="15.75" customHeight="1">
      <c r="A43" s="60" t="s">
        <v>119</v>
      </c>
      <c r="B43" s="67" t="s">
        <v>120</v>
      </c>
      <c r="C43" s="26" t="s">
        <v>121</v>
      </c>
      <c r="D43" s="61">
        <v>0.15</v>
      </c>
      <c r="E43" s="68">
        <v>5.0</v>
      </c>
      <c r="F43" s="69" t="s">
        <v>33</v>
      </c>
      <c r="G43" s="68">
        <v>0.0</v>
      </c>
    </row>
    <row r="44" ht="15.75" customHeight="1">
      <c r="A44" s="62"/>
      <c r="B44" s="58"/>
      <c r="C44" s="63" t="s">
        <v>18</v>
      </c>
      <c r="D44" s="64">
        <f>SUM(D38:D43)</f>
        <v>1</v>
      </c>
      <c r="E44" s="65">
        <f t="shared" ref="E44:G44" si="4">SUM((E38*$D$38)+(E39*$D$39)+(E40*$D$40)+(E41*$D$41)+(E42*$D$42)+(E43*$D$43))/10</f>
        <v>0.925</v>
      </c>
      <c r="F44" s="65">
        <f t="shared" si="4"/>
        <v>0.9</v>
      </c>
      <c r="G44" s="65">
        <f t="shared" si="4"/>
        <v>0.25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
    <mergeCell ref="A1:G1"/>
    <mergeCell ref="I2:J2"/>
    <mergeCell ref="A8:C14"/>
    <mergeCell ref="A15:H15"/>
    <mergeCell ref="A25:G25"/>
    <mergeCell ref="A36:G3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5" width="17.88"/>
    <col customWidth="1" min="6" max="6" width="16.63"/>
    <col customWidth="1" min="7" max="7" width="16.0"/>
  </cols>
  <sheetData>
    <row r="1" ht="15.75" customHeight="1">
      <c r="A1" s="1" t="s">
        <v>122</v>
      </c>
      <c r="B1" s="2"/>
      <c r="C1" s="2"/>
      <c r="D1" s="2"/>
      <c r="E1" s="2"/>
      <c r="F1" s="2"/>
      <c r="G1" s="3"/>
      <c r="H1" s="4"/>
      <c r="I1" s="4"/>
      <c r="J1" s="4"/>
    </row>
    <row r="2" ht="15.75" customHeight="1">
      <c r="A2" s="21" t="s">
        <v>76</v>
      </c>
      <c r="B2" s="22" t="s">
        <v>77</v>
      </c>
      <c r="C2" s="22" t="s">
        <v>78</v>
      </c>
      <c r="D2" s="22" t="s">
        <v>44</v>
      </c>
      <c r="E2" s="43" t="s">
        <v>123</v>
      </c>
      <c r="F2" s="43" t="s">
        <v>124</v>
      </c>
      <c r="G2" s="43" t="s">
        <v>125</v>
      </c>
      <c r="H2" s="4"/>
      <c r="I2" s="8" t="s">
        <v>126</v>
      </c>
    </row>
    <row r="3" ht="15.75" customHeight="1">
      <c r="A3" s="24" t="s">
        <v>127</v>
      </c>
      <c r="B3" s="25" t="s">
        <v>128</v>
      </c>
      <c r="C3" s="11" t="s">
        <v>11</v>
      </c>
      <c r="D3" s="27">
        <v>0.25</v>
      </c>
      <c r="E3" s="28">
        <v>5.0</v>
      </c>
      <c r="F3" s="29" t="s">
        <v>36</v>
      </c>
      <c r="G3" s="28">
        <v>8.0</v>
      </c>
      <c r="H3" s="4"/>
      <c r="I3" s="4"/>
      <c r="J3" s="4"/>
    </row>
    <row r="4" ht="15.75" customHeight="1">
      <c r="A4" s="24" t="s">
        <v>129</v>
      </c>
      <c r="B4" s="25" t="s">
        <v>130</v>
      </c>
      <c r="C4" s="11" t="s">
        <v>11</v>
      </c>
      <c r="D4" s="27">
        <v>0.4</v>
      </c>
      <c r="E4" s="28">
        <v>10.0</v>
      </c>
      <c r="F4" s="29" t="s">
        <v>49</v>
      </c>
      <c r="G4" s="28">
        <v>5.0</v>
      </c>
      <c r="H4" s="4"/>
      <c r="I4" s="4"/>
      <c r="J4" s="4"/>
    </row>
    <row r="5" ht="15.75" customHeight="1">
      <c r="A5" s="24" t="s">
        <v>55</v>
      </c>
      <c r="B5" s="25" t="s">
        <v>131</v>
      </c>
      <c r="C5" s="11" t="s">
        <v>11</v>
      </c>
      <c r="D5" s="27">
        <v>0.2</v>
      </c>
      <c r="E5" s="28">
        <v>7.0</v>
      </c>
      <c r="F5" s="29" t="s">
        <v>36</v>
      </c>
      <c r="G5" s="28">
        <v>10.0</v>
      </c>
      <c r="H5" s="4"/>
      <c r="I5" s="4"/>
      <c r="J5" s="4"/>
    </row>
    <row r="6" ht="15.75" customHeight="1">
      <c r="A6" s="24" t="s">
        <v>132</v>
      </c>
      <c r="B6" s="25" t="s">
        <v>133</v>
      </c>
      <c r="C6" s="26" t="s">
        <v>134</v>
      </c>
      <c r="D6" s="27">
        <v>0.15</v>
      </c>
      <c r="E6" s="28">
        <v>9.0</v>
      </c>
      <c r="F6" s="29" t="s">
        <v>33</v>
      </c>
      <c r="G6" s="28">
        <v>6.0</v>
      </c>
      <c r="H6" s="4"/>
      <c r="I6" s="4"/>
      <c r="J6" s="4"/>
    </row>
    <row r="7" ht="15.75" customHeight="1">
      <c r="A7" s="15"/>
      <c r="B7" s="13"/>
      <c r="C7" s="16" t="s">
        <v>18</v>
      </c>
      <c r="D7" s="17">
        <f>SUM(D3:D6)</f>
        <v>1</v>
      </c>
      <c r="E7" s="18">
        <f t="shared" ref="E7:G7" si="1">SUM((E3*$D$3)+(E4*$D$4)+(E5*$D$5)+(E6*$D$6))/10</f>
        <v>0.8</v>
      </c>
      <c r="F7" s="18">
        <f t="shared" si="1"/>
        <v>0.87</v>
      </c>
      <c r="G7" s="18">
        <f t="shared" si="1"/>
        <v>0.69</v>
      </c>
      <c r="H7" s="4"/>
      <c r="I7" s="4"/>
      <c r="J7" s="4"/>
    </row>
    <row r="8" ht="15.75" customHeight="1">
      <c r="A8" s="4"/>
      <c r="B8" s="4"/>
      <c r="C8" s="4"/>
      <c r="D8" s="19"/>
      <c r="E8" s="4"/>
      <c r="F8" s="4"/>
      <c r="G8" s="4"/>
      <c r="H8" s="4"/>
      <c r="I8" s="4"/>
      <c r="J8" s="4"/>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
    <mergeCell ref="A1:G1"/>
    <mergeCell ref="I2:J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c r="A1" s="1" t="s">
        <v>135</v>
      </c>
      <c r="B1" s="2"/>
      <c r="C1" s="2"/>
      <c r="D1" s="2"/>
      <c r="E1" s="2"/>
      <c r="F1" s="2"/>
      <c r="G1" s="3"/>
      <c r="H1" s="4"/>
      <c r="I1" s="4"/>
      <c r="J1" s="4"/>
    </row>
    <row r="2" ht="15.75" customHeight="1">
      <c r="A2" s="21" t="s">
        <v>76</v>
      </c>
      <c r="B2" s="22" t="s">
        <v>77</v>
      </c>
      <c r="C2" s="22" t="s">
        <v>78</v>
      </c>
      <c r="D2" s="22" t="s">
        <v>44</v>
      </c>
      <c r="E2" s="43" t="s">
        <v>136</v>
      </c>
      <c r="F2" s="43" t="s">
        <v>137</v>
      </c>
      <c r="G2" s="43" t="s">
        <v>138</v>
      </c>
      <c r="H2" s="4"/>
      <c r="I2" s="8"/>
    </row>
    <row r="3" ht="15.75" customHeight="1">
      <c r="A3" s="24" t="s">
        <v>30</v>
      </c>
      <c r="B3" s="25" t="s">
        <v>139</v>
      </c>
      <c r="C3" s="11" t="s">
        <v>11</v>
      </c>
      <c r="D3" s="27">
        <v>0.15</v>
      </c>
      <c r="E3" s="70">
        <v>10.0</v>
      </c>
      <c r="F3" s="71" t="s">
        <v>33</v>
      </c>
      <c r="G3" s="70">
        <v>10.0</v>
      </c>
      <c r="H3" s="4"/>
      <c r="I3" s="4"/>
      <c r="J3" s="4"/>
    </row>
    <row r="4" ht="15.75" customHeight="1">
      <c r="A4" s="24" t="s">
        <v>70</v>
      </c>
      <c r="B4" s="25" t="s">
        <v>140</v>
      </c>
      <c r="C4" s="11" t="s">
        <v>11</v>
      </c>
      <c r="D4" s="27">
        <v>0.3</v>
      </c>
      <c r="E4" s="70">
        <v>5.0</v>
      </c>
      <c r="F4" s="71" t="s">
        <v>33</v>
      </c>
      <c r="G4" s="70">
        <v>10.0</v>
      </c>
      <c r="H4" s="4"/>
      <c r="I4" s="4"/>
      <c r="J4" s="4"/>
    </row>
    <row r="5" ht="15.75" customHeight="1">
      <c r="A5" s="24" t="s">
        <v>72</v>
      </c>
      <c r="B5" s="10" t="s">
        <v>17</v>
      </c>
      <c r="C5" s="11" t="s">
        <v>11</v>
      </c>
      <c r="D5" s="27">
        <v>0.2</v>
      </c>
      <c r="E5" s="70">
        <v>5.0</v>
      </c>
      <c r="F5" s="71" t="s">
        <v>33</v>
      </c>
      <c r="G5" s="70">
        <v>10.0</v>
      </c>
      <c r="H5" s="4"/>
      <c r="I5" s="4"/>
      <c r="J5" s="4"/>
    </row>
    <row r="6" ht="15.75" customHeight="1">
      <c r="A6" s="24" t="s">
        <v>141</v>
      </c>
      <c r="B6" s="25" t="s">
        <v>142</v>
      </c>
      <c r="C6" s="11" t="s">
        <v>11</v>
      </c>
      <c r="D6" s="27">
        <v>0.3</v>
      </c>
      <c r="E6" s="70">
        <v>0.0</v>
      </c>
      <c r="F6" s="71" t="s">
        <v>33</v>
      </c>
      <c r="G6" s="70">
        <v>10.0</v>
      </c>
      <c r="H6" s="4"/>
      <c r="I6" s="4"/>
      <c r="J6" s="4"/>
    </row>
    <row r="7" ht="15.75" customHeight="1">
      <c r="A7" s="24" t="s">
        <v>143</v>
      </c>
      <c r="B7" s="28" t="s">
        <v>144</v>
      </c>
      <c r="C7" s="11" t="s">
        <v>11</v>
      </c>
      <c r="D7" s="72">
        <v>0.05</v>
      </c>
      <c r="E7" s="70">
        <v>10.0</v>
      </c>
      <c r="F7" s="70">
        <v>9.0</v>
      </c>
      <c r="G7" s="70">
        <v>10.0</v>
      </c>
      <c r="H7" s="4"/>
      <c r="I7" s="4"/>
      <c r="J7" s="4"/>
    </row>
    <row r="8" ht="15.75" customHeight="1">
      <c r="A8" s="15"/>
      <c r="B8" s="13"/>
      <c r="C8" s="16" t="s">
        <v>18</v>
      </c>
      <c r="D8" s="17">
        <f>SUM(D3:D7)</f>
        <v>1</v>
      </c>
      <c r="E8" s="18">
        <f t="shared" ref="E8:G8" si="1">SUM((E3*$D$3)+(E4*$D$4)+(E5*$D$5)+(E6*$D$6)+(E7*$D$7))/10</f>
        <v>0.45</v>
      </c>
      <c r="F8" s="18">
        <f t="shared" si="1"/>
        <v>0.995</v>
      </c>
      <c r="G8" s="18">
        <f t="shared" si="1"/>
        <v>1</v>
      </c>
      <c r="H8" s="4"/>
      <c r="I8" s="4"/>
      <c r="J8" s="4"/>
    </row>
    <row r="9" ht="15.75" customHeight="1">
      <c r="A9" s="4"/>
      <c r="B9" s="4"/>
      <c r="C9" s="4"/>
      <c r="D9" s="19"/>
      <c r="E9" s="4"/>
      <c r="F9" s="4"/>
      <c r="G9" s="4"/>
      <c r="H9" s="4"/>
      <c r="I9" s="4"/>
      <c r="J9" s="4"/>
    </row>
    <row r="10" ht="15.75" customHeight="1"/>
    <row r="11" ht="15.75" customHeight="1">
      <c r="A11" s="20" t="s">
        <v>20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A1:G1"/>
    <mergeCell ref="I2:J2"/>
    <mergeCell ref="A11:C17"/>
  </mergeCell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5" width="12.63"/>
  </cols>
  <sheetData>
    <row r="1">
      <c r="A1" s="1" t="s">
        <v>145</v>
      </c>
      <c r="B1" s="2"/>
      <c r="C1" s="2"/>
      <c r="D1" s="2"/>
      <c r="E1" s="2"/>
      <c r="F1" s="3"/>
      <c r="G1" s="4"/>
      <c r="H1" s="4"/>
      <c r="I1" s="4"/>
      <c r="J1" s="73" t="s">
        <v>146</v>
      </c>
      <c r="K1" s="74"/>
      <c r="L1" s="75"/>
      <c r="M1" s="75"/>
    </row>
    <row r="2">
      <c r="A2" s="21" t="s">
        <v>76</v>
      </c>
      <c r="B2" s="22" t="s">
        <v>77</v>
      </c>
      <c r="C2" s="22" t="s">
        <v>78</v>
      </c>
      <c r="D2" s="22" t="s">
        <v>44</v>
      </c>
      <c r="E2" s="43" t="s">
        <v>147</v>
      </c>
      <c r="F2" s="43" t="s">
        <v>148</v>
      </c>
      <c r="G2" s="4"/>
      <c r="H2" s="8" t="s">
        <v>149</v>
      </c>
      <c r="K2" s="76" t="s">
        <v>150</v>
      </c>
    </row>
    <row r="3" ht="15.75" customHeight="1">
      <c r="A3" s="24" t="s">
        <v>151</v>
      </c>
      <c r="B3" s="25" t="s">
        <v>152</v>
      </c>
      <c r="C3" s="11" t="s">
        <v>11</v>
      </c>
      <c r="D3" s="27">
        <v>0.05</v>
      </c>
      <c r="E3" s="46" t="s">
        <v>33</v>
      </c>
      <c r="F3" s="45">
        <v>10.0</v>
      </c>
      <c r="G3" s="4"/>
      <c r="H3" s="77" t="s">
        <v>153</v>
      </c>
      <c r="I3" s="4"/>
      <c r="K3" s="73" t="s">
        <v>154</v>
      </c>
      <c r="L3" s="73" t="s">
        <v>155</v>
      </c>
      <c r="M3" s="73" t="s">
        <v>155</v>
      </c>
    </row>
    <row r="4" ht="15.75" customHeight="1">
      <c r="A4" s="24" t="s">
        <v>156</v>
      </c>
      <c r="B4" s="25" t="s">
        <v>157</v>
      </c>
      <c r="C4" s="26" t="s">
        <v>158</v>
      </c>
      <c r="D4" s="27">
        <v>0.15</v>
      </c>
      <c r="E4" s="46" t="s">
        <v>33</v>
      </c>
      <c r="F4" s="45">
        <v>10.0</v>
      </c>
      <c r="G4" s="4"/>
      <c r="H4" s="77" t="s">
        <v>159</v>
      </c>
      <c r="I4" s="4"/>
      <c r="K4" s="50" t="s">
        <v>160</v>
      </c>
      <c r="L4" s="73" t="s">
        <v>161</v>
      </c>
      <c r="M4" s="73" t="s">
        <v>162</v>
      </c>
    </row>
    <row r="5" ht="15.75" customHeight="1">
      <c r="A5" s="24" t="s">
        <v>55</v>
      </c>
      <c r="B5" s="25" t="s">
        <v>163</v>
      </c>
      <c r="C5" s="11" t="s">
        <v>11</v>
      </c>
      <c r="D5" s="27">
        <v>0.05</v>
      </c>
      <c r="E5" s="46" t="s">
        <v>52</v>
      </c>
      <c r="F5" s="45">
        <v>7.0</v>
      </c>
      <c r="G5" s="4"/>
      <c r="H5" s="77" t="s">
        <v>164</v>
      </c>
      <c r="I5" s="4"/>
      <c r="K5" s="78">
        <v>9.59</v>
      </c>
      <c r="L5" s="73">
        <v>40.0</v>
      </c>
      <c r="M5" s="73">
        <v>40.0</v>
      </c>
    </row>
    <row r="6" ht="15.75" customHeight="1">
      <c r="A6" s="24" t="s">
        <v>165</v>
      </c>
      <c r="B6" s="25" t="s">
        <v>166</v>
      </c>
      <c r="C6" s="26" t="s">
        <v>167</v>
      </c>
      <c r="D6" s="27">
        <v>0.2</v>
      </c>
      <c r="E6" s="46" t="s">
        <v>39</v>
      </c>
      <c r="F6" s="45">
        <v>5.0</v>
      </c>
      <c r="G6" s="4"/>
      <c r="H6" s="4"/>
      <c r="I6" s="4"/>
      <c r="L6" s="73">
        <v>30.0</v>
      </c>
      <c r="M6" s="73" t="s">
        <v>168</v>
      </c>
    </row>
    <row r="7" ht="15.75" customHeight="1">
      <c r="A7" s="24" t="s">
        <v>87</v>
      </c>
      <c r="B7" s="25" t="s">
        <v>169</v>
      </c>
      <c r="C7" s="11" t="s">
        <v>11</v>
      </c>
      <c r="D7" s="27">
        <v>0.1</v>
      </c>
      <c r="E7" s="46" t="s">
        <v>52</v>
      </c>
      <c r="F7" s="45">
        <v>9.0</v>
      </c>
      <c r="G7" s="4"/>
      <c r="H7" s="4"/>
      <c r="I7" s="4"/>
      <c r="L7" s="73" t="s">
        <v>170</v>
      </c>
      <c r="M7" s="73" t="s">
        <v>171</v>
      </c>
    </row>
    <row r="8" ht="15.75" customHeight="1">
      <c r="A8" s="24" t="s">
        <v>172</v>
      </c>
      <c r="B8" s="25" t="s">
        <v>173</v>
      </c>
      <c r="C8" s="26" t="s">
        <v>174</v>
      </c>
      <c r="D8" s="27">
        <v>0.15</v>
      </c>
      <c r="E8" s="46" t="s">
        <v>39</v>
      </c>
      <c r="F8" s="45">
        <v>6.0</v>
      </c>
      <c r="G8" s="4"/>
      <c r="H8" s="4"/>
      <c r="I8" s="4"/>
      <c r="K8" s="73" t="s">
        <v>175</v>
      </c>
      <c r="L8" s="73" t="s">
        <v>176</v>
      </c>
      <c r="M8" s="73" t="s">
        <v>177</v>
      </c>
    </row>
    <row r="9" ht="15.75" customHeight="1">
      <c r="A9" s="24" t="s">
        <v>178</v>
      </c>
      <c r="B9" s="25" t="s">
        <v>179</v>
      </c>
      <c r="C9" s="79" t="s">
        <v>180</v>
      </c>
      <c r="D9" s="27">
        <v>0.05</v>
      </c>
      <c r="E9" s="46" t="s">
        <v>181</v>
      </c>
      <c r="F9" s="45">
        <v>0.0</v>
      </c>
      <c r="K9" s="73"/>
      <c r="L9" s="73">
        <v>0.0</v>
      </c>
      <c r="M9" s="73">
        <v>0.0</v>
      </c>
    </row>
    <row r="10" ht="15.75" customHeight="1">
      <c r="A10" s="24" t="s">
        <v>44</v>
      </c>
      <c r="B10" s="25" t="s">
        <v>182</v>
      </c>
      <c r="C10" s="11" t="s">
        <v>11</v>
      </c>
      <c r="D10" s="27">
        <v>0.1</v>
      </c>
      <c r="E10" s="46" t="s">
        <v>33</v>
      </c>
      <c r="F10" s="45">
        <v>5.0</v>
      </c>
      <c r="K10" s="73" t="s">
        <v>183</v>
      </c>
      <c r="L10" s="73" t="s">
        <v>184</v>
      </c>
      <c r="M10" s="73" t="s">
        <v>185</v>
      </c>
    </row>
    <row r="11" ht="15.75" customHeight="1">
      <c r="A11" s="24" t="s">
        <v>186</v>
      </c>
      <c r="B11" s="25" t="s">
        <v>187</v>
      </c>
      <c r="C11" s="11" t="s">
        <v>11</v>
      </c>
      <c r="D11" s="27">
        <v>0.15</v>
      </c>
      <c r="E11" s="46" t="s">
        <v>36</v>
      </c>
      <c r="F11" s="45">
        <v>8.0</v>
      </c>
    </row>
    <row r="12" ht="15.75" customHeight="1">
      <c r="A12" s="15"/>
      <c r="B12" s="13"/>
      <c r="C12" s="16" t="s">
        <v>18</v>
      </c>
      <c r="D12" s="17">
        <f>SUM(D3:D11)</f>
        <v>1</v>
      </c>
      <c r="E12" s="18">
        <f t="shared" ref="E12:F12" si="1">SUM((E3*$D$3)+(E4*$D$4)+(E5*$D$5)+(E6*$D$6)+(E7*$D$7)+(E8*$D$8)+(E9*$D$9)+(E10*$D$10)+(E11*$D$11))/10</f>
        <v>0.7</v>
      </c>
      <c r="F12" s="18">
        <f t="shared" si="1"/>
        <v>0.685</v>
      </c>
    </row>
    <row r="13" ht="15.75" customHeight="1"/>
    <row r="14" ht="15.75" customHeight="1">
      <c r="E14" s="80" t="s">
        <v>188</v>
      </c>
      <c r="F14" s="80" t="s">
        <v>189</v>
      </c>
    </row>
    <row r="15" ht="15.75" customHeight="1">
      <c r="E15" s="81" t="s">
        <v>190</v>
      </c>
    </row>
    <row r="16" ht="15.75" customHeight="1">
      <c r="F16" s="73" t="s">
        <v>191</v>
      </c>
    </row>
    <row r="17" ht="15.75" customHeight="1">
      <c r="H17" s="75"/>
    </row>
    <row r="18" ht="15.75" customHeight="1"/>
    <row r="19" ht="15.75" customHeight="1"/>
    <row r="20" ht="15.75" customHeight="1">
      <c r="A20" s="20" t="s">
        <v>20</v>
      </c>
    </row>
    <row r="21" ht="15.75" customHeight="1"/>
    <row r="22" ht="15.75" customHeight="1"/>
    <row r="23" ht="15.75" customHeight="1"/>
    <row r="24" ht="15.75" customHeight="1">
      <c r="D24" s="19" t="s">
        <v>19</v>
      </c>
    </row>
    <row r="25" ht="15.75" customHeight="1"/>
    <row r="26" ht="15.75" customHeight="1"/>
    <row r="27" ht="15.75" customHeight="1"/>
    <row r="28" ht="15.75" customHeight="1">
      <c r="A28" s="81" t="s">
        <v>159</v>
      </c>
    </row>
    <row r="29" ht="15.75" customHeight="1">
      <c r="A29" s="81" t="s">
        <v>192</v>
      </c>
    </row>
    <row r="30" ht="15.75" customHeight="1">
      <c r="A30" s="81" t="s">
        <v>193</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F1"/>
    <mergeCell ref="H2:I2"/>
    <mergeCell ref="A20:C26"/>
  </mergeCells>
  <hyperlinks>
    <hyperlink r:id="rId1" ref="H3"/>
    <hyperlink r:id="rId2" ref="H4"/>
    <hyperlink r:id="rId3" ref="H5"/>
    <hyperlink r:id="rId4" ref="E14"/>
    <hyperlink r:id="rId5" ref="F14"/>
    <hyperlink r:id="rId6" ref="E15"/>
    <hyperlink r:id="rId7" ref="A28"/>
    <hyperlink r:id="rId8" ref="A29"/>
    <hyperlink r:id="rId9" ref="A30"/>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5" width="14.88"/>
    <col customWidth="1" min="6" max="6" width="12.63"/>
  </cols>
  <sheetData>
    <row r="1">
      <c r="A1" s="1" t="s">
        <v>194</v>
      </c>
      <c r="B1" s="2"/>
      <c r="C1" s="2"/>
      <c r="D1" s="2"/>
      <c r="E1" s="2"/>
      <c r="F1" s="2"/>
      <c r="G1" s="3"/>
      <c r="H1" s="4"/>
      <c r="I1" s="4"/>
      <c r="J1" s="4"/>
      <c r="K1" s="73" t="s">
        <v>146</v>
      </c>
      <c r="L1" s="82"/>
      <c r="M1" s="75"/>
      <c r="N1" s="75"/>
    </row>
    <row r="2">
      <c r="A2" s="21" t="s">
        <v>76</v>
      </c>
      <c r="B2" s="22" t="s">
        <v>77</v>
      </c>
      <c r="C2" s="22" t="s">
        <v>78</v>
      </c>
      <c r="D2" s="22" t="s">
        <v>44</v>
      </c>
      <c r="E2" s="43" t="s">
        <v>195</v>
      </c>
      <c r="F2" s="43" t="s">
        <v>196</v>
      </c>
      <c r="G2" s="43" t="s">
        <v>197</v>
      </c>
      <c r="H2" s="4"/>
      <c r="I2" s="8" t="s">
        <v>198</v>
      </c>
      <c r="L2" s="76"/>
    </row>
    <row r="3" ht="15.75" customHeight="1">
      <c r="A3" s="24" t="s">
        <v>151</v>
      </c>
      <c r="B3" s="25" t="s">
        <v>152</v>
      </c>
      <c r="C3" s="11" t="s">
        <v>11</v>
      </c>
      <c r="D3" s="27">
        <v>0.05</v>
      </c>
      <c r="E3" s="45">
        <v>10.0</v>
      </c>
      <c r="F3" s="46" t="s">
        <v>33</v>
      </c>
      <c r="G3" s="45">
        <v>10.0</v>
      </c>
      <c r="H3" s="4"/>
      <c r="I3" s="83"/>
      <c r="J3" s="4"/>
    </row>
    <row r="4" ht="15.75" customHeight="1">
      <c r="A4" s="24" t="s">
        <v>156</v>
      </c>
      <c r="B4" s="25" t="s">
        <v>157</v>
      </c>
      <c r="C4" s="26" t="s">
        <v>158</v>
      </c>
      <c r="D4" s="27">
        <v>0.15</v>
      </c>
      <c r="E4" s="45">
        <v>10.0</v>
      </c>
      <c r="F4" s="46" t="s">
        <v>57</v>
      </c>
      <c r="G4" s="45">
        <v>10.0</v>
      </c>
      <c r="H4" s="4"/>
      <c r="I4" s="83"/>
      <c r="J4" s="4"/>
      <c r="L4" s="50"/>
    </row>
    <row r="5" ht="15.75" customHeight="1">
      <c r="A5" s="24" t="s">
        <v>55</v>
      </c>
      <c r="B5" s="25" t="s">
        <v>163</v>
      </c>
      <c r="C5" s="26" t="s">
        <v>199</v>
      </c>
      <c r="D5" s="27">
        <v>0.2</v>
      </c>
      <c r="E5" s="45">
        <v>0.0</v>
      </c>
      <c r="F5" s="46" t="s">
        <v>33</v>
      </c>
      <c r="G5" s="45">
        <v>7.0</v>
      </c>
      <c r="H5" s="4"/>
      <c r="I5" s="83"/>
      <c r="J5" s="4"/>
      <c r="L5" s="78"/>
    </row>
    <row r="6" ht="15.75" customHeight="1">
      <c r="A6" s="84" t="s">
        <v>200</v>
      </c>
      <c r="B6" s="85" t="s">
        <v>201</v>
      </c>
      <c r="C6" s="86" t="s">
        <v>202</v>
      </c>
      <c r="D6" s="57">
        <v>0.15</v>
      </c>
      <c r="E6" s="87">
        <v>10.0</v>
      </c>
      <c r="F6" s="88" t="s">
        <v>39</v>
      </c>
      <c r="G6" s="89">
        <v>10.0</v>
      </c>
      <c r="H6" s="4"/>
      <c r="I6" s="4"/>
      <c r="J6" s="4"/>
    </row>
    <row r="7" ht="15.75" customHeight="1">
      <c r="A7" s="24" t="s">
        <v>87</v>
      </c>
      <c r="B7" s="25" t="s">
        <v>203</v>
      </c>
      <c r="C7" s="11" t="s">
        <v>11</v>
      </c>
      <c r="D7" s="27">
        <v>0.1</v>
      </c>
      <c r="E7" s="45">
        <v>10.0</v>
      </c>
      <c r="F7" s="46" t="s">
        <v>204</v>
      </c>
      <c r="G7" s="45">
        <v>6.0</v>
      </c>
      <c r="H7" s="4"/>
      <c r="I7" s="4"/>
      <c r="J7" s="4"/>
    </row>
    <row r="8" ht="15.75" customHeight="1">
      <c r="A8" s="24" t="s">
        <v>172</v>
      </c>
      <c r="B8" s="25" t="s">
        <v>173</v>
      </c>
      <c r="C8" s="26" t="s">
        <v>174</v>
      </c>
      <c r="D8" s="27">
        <v>0.1</v>
      </c>
      <c r="E8" s="45">
        <v>9.0</v>
      </c>
      <c r="F8" s="46" t="s">
        <v>33</v>
      </c>
      <c r="G8" s="45">
        <v>10.0</v>
      </c>
      <c r="H8" s="4"/>
      <c r="I8" s="4"/>
      <c r="J8" s="4"/>
    </row>
    <row r="9" ht="15.75" customHeight="1">
      <c r="A9" s="24" t="s">
        <v>178</v>
      </c>
      <c r="B9" s="25" t="s">
        <v>205</v>
      </c>
      <c r="C9" s="79" t="s">
        <v>180</v>
      </c>
      <c r="D9" s="27">
        <v>0.15</v>
      </c>
      <c r="E9" s="45">
        <v>10.0</v>
      </c>
      <c r="F9" s="46" t="s">
        <v>33</v>
      </c>
      <c r="G9" s="45">
        <v>1.0</v>
      </c>
    </row>
    <row r="10" ht="15.75" customHeight="1">
      <c r="A10" s="24" t="s">
        <v>44</v>
      </c>
      <c r="B10" s="25" t="s">
        <v>182</v>
      </c>
      <c r="C10" s="11" t="s">
        <v>11</v>
      </c>
      <c r="D10" s="27">
        <v>0.1</v>
      </c>
      <c r="E10" s="45">
        <v>4.0</v>
      </c>
      <c r="F10" s="46" t="s">
        <v>33</v>
      </c>
      <c r="G10" s="45">
        <v>7.0</v>
      </c>
    </row>
    <row r="11" ht="15.75" customHeight="1">
      <c r="A11" s="15"/>
      <c r="B11" s="13"/>
      <c r="C11" s="16" t="s">
        <v>18</v>
      </c>
      <c r="D11" s="17">
        <f>SUM(D3:D10)</f>
        <v>1</v>
      </c>
      <c r="E11" s="18">
        <f t="shared" ref="E11:G11" si="1">SUM((E3*$D$3)+(E4*$D$4)+(E5*$D$5)+(E6*$D$6)+(E7*$D$7)+(E8*$D$8)+(E9*$D$9)+(E10*$D$10))/10</f>
        <v>0.73</v>
      </c>
      <c r="F11" s="18">
        <f t="shared" si="1"/>
        <v>0.805</v>
      </c>
      <c r="G11" s="18">
        <f t="shared" si="1"/>
        <v>0.735</v>
      </c>
    </row>
    <row r="12" ht="15.75" customHeight="1">
      <c r="G12" s="73" t="s">
        <v>206</v>
      </c>
    </row>
    <row r="13" ht="15.75" customHeight="1">
      <c r="E13" s="80" t="s">
        <v>207</v>
      </c>
      <c r="F13" s="80" t="s">
        <v>208</v>
      </c>
      <c r="G13" s="90" t="s">
        <v>209</v>
      </c>
    </row>
    <row r="14" ht="15.75" customHeight="1">
      <c r="E14" s="81" t="s">
        <v>210</v>
      </c>
      <c r="F14" s="81" t="s">
        <v>211</v>
      </c>
      <c r="G14" s="81" t="s">
        <v>212</v>
      </c>
    </row>
    <row r="15" ht="15.75" customHeight="1">
      <c r="E15" s="81" t="s">
        <v>213</v>
      </c>
      <c r="F15" s="81" t="s">
        <v>213</v>
      </c>
      <c r="G15" s="81" t="s">
        <v>190</v>
      </c>
    </row>
    <row r="16" ht="15.75" customHeight="1">
      <c r="I16" s="75"/>
    </row>
    <row r="17" ht="15.75" customHeight="1"/>
    <row r="18" ht="15.75" customHeight="1"/>
    <row r="19" ht="15.75" customHeight="1">
      <c r="A19" s="20" t="s">
        <v>20</v>
      </c>
    </row>
    <row r="20" ht="15.75" customHeight="1"/>
    <row r="21" ht="15.75" customHeight="1"/>
    <row r="22" ht="15.75" customHeight="1"/>
    <row r="23" ht="15.75" customHeight="1">
      <c r="D23" s="19" t="s">
        <v>19</v>
      </c>
    </row>
    <row r="24" ht="15.75" customHeight="1"/>
    <row r="25" ht="15.75" customHeight="1"/>
    <row r="26" ht="15.75" customHeight="1">
      <c r="F26" s="81" t="s">
        <v>5</v>
      </c>
    </row>
    <row r="27" ht="15.75" customHeight="1">
      <c r="A27" s="81" t="s">
        <v>159</v>
      </c>
      <c r="F27" s="81" t="s">
        <v>6</v>
      </c>
    </row>
    <row r="28" ht="15.75" customHeight="1">
      <c r="A28" s="81" t="s">
        <v>214</v>
      </c>
    </row>
    <row r="29" ht="15.75" customHeight="1">
      <c r="A29" s="81" t="s">
        <v>215</v>
      </c>
    </row>
    <row r="30" ht="15.75" customHeight="1">
      <c r="A30" s="73" t="s">
        <v>216</v>
      </c>
    </row>
    <row r="31" ht="15.75" customHeight="1">
      <c r="A31" s="73" t="s">
        <v>217</v>
      </c>
    </row>
    <row r="32" ht="15.75" customHeight="1">
      <c r="A32" s="81" t="s">
        <v>218</v>
      </c>
    </row>
    <row r="33" ht="15.75" customHeight="1">
      <c r="A33" s="81" t="s">
        <v>219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
    <mergeCell ref="A1:G1"/>
    <mergeCell ref="I2:J2"/>
    <mergeCell ref="A19:C25"/>
  </mergeCells>
  <hyperlinks>
    <hyperlink r:id="rId1" ref="E13"/>
    <hyperlink r:id="rId2" ref="F13"/>
    <hyperlink r:id="rId3" ref="E14"/>
    <hyperlink r:id="rId4" ref="F14"/>
    <hyperlink r:id="rId5" location="utm_source=gdm_unpaid" ref="G14"/>
    <hyperlink r:id="rId6" ref="E15"/>
    <hyperlink r:id="rId7" ref="F15"/>
    <hyperlink r:id="rId8" ref="G15"/>
    <hyperlink r:id="rId9" ref="F26"/>
    <hyperlink r:id="rId10" ref="A27"/>
    <hyperlink r:id="rId11" location="utm_source=gdm_unpaid" ref="F27"/>
    <hyperlink r:id="rId12" ref="A28"/>
    <hyperlink r:id="rId13" ref="A29"/>
    <hyperlink r:id="rId14" ref="A32"/>
    <hyperlink r:id="rId15" ref="A33"/>
  </hyperlinks>
  <drawing r:id="rId1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220</v>
      </c>
      <c r="B1" s="2"/>
      <c r="C1" s="2"/>
      <c r="D1" s="2"/>
      <c r="E1" s="2"/>
      <c r="F1" s="2"/>
      <c r="G1" s="3"/>
      <c r="H1" s="4"/>
      <c r="I1" s="4"/>
      <c r="J1" s="4"/>
    </row>
    <row r="2" ht="15.75" customHeight="1">
      <c r="A2" s="21" t="s">
        <v>76</v>
      </c>
      <c r="B2" s="22" t="s">
        <v>77</v>
      </c>
      <c r="C2" s="22" t="s">
        <v>78</v>
      </c>
      <c r="D2" s="22" t="s">
        <v>44</v>
      </c>
      <c r="E2" s="43" t="s">
        <v>221</v>
      </c>
      <c r="F2" s="43" t="s">
        <v>222</v>
      </c>
      <c r="G2" s="7"/>
      <c r="H2" s="4"/>
      <c r="I2" s="8" t="s">
        <v>223</v>
      </c>
    </row>
    <row r="3" ht="15.75" customHeight="1">
      <c r="A3" s="24" t="s">
        <v>224</v>
      </c>
      <c r="B3" s="25" t="s">
        <v>225</v>
      </c>
      <c r="C3" s="11" t="s">
        <v>11</v>
      </c>
      <c r="D3" s="27">
        <v>0.1</v>
      </c>
      <c r="E3" s="28">
        <v>10.0</v>
      </c>
      <c r="F3" s="46" t="s">
        <v>33</v>
      </c>
      <c r="G3" s="13"/>
      <c r="H3" s="4"/>
      <c r="I3" s="4"/>
      <c r="J3" s="4"/>
      <c r="K3" s="73" t="s">
        <v>226</v>
      </c>
      <c r="L3" s="91" t="s">
        <v>227</v>
      </c>
    </row>
    <row r="4" ht="15.75" customHeight="1">
      <c r="A4" s="44" t="s">
        <v>228</v>
      </c>
      <c r="B4" s="25" t="s">
        <v>229</v>
      </c>
      <c r="C4" s="11" t="s">
        <v>11</v>
      </c>
      <c r="D4" s="27">
        <v>0.25</v>
      </c>
      <c r="E4" s="45">
        <v>10.0</v>
      </c>
      <c r="F4" s="46" t="s">
        <v>33</v>
      </c>
      <c r="G4" s="13"/>
      <c r="H4" s="4"/>
      <c r="I4" s="4"/>
      <c r="J4" s="4"/>
      <c r="K4" s="73" t="s">
        <v>213</v>
      </c>
      <c r="L4" s="81" t="s">
        <v>230</v>
      </c>
    </row>
    <row r="5" ht="15.75" customHeight="1">
      <c r="A5" s="24" t="s">
        <v>231</v>
      </c>
      <c r="B5" s="25" t="s">
        <v>232</v>
      </c>
      <c r="C5" s="11" t="s">
        <v>11</v>
      </c>
      <c r="D5" s="27">
        <v>0.2</v>
      </c>
      <c r="E5" s="28">
        <v>8.0</v>
      </c>
      <c r="F5" s="46" t="s">
        <v>49</v>
      </c>
      <c r="G5" s="13"/>
      <c r="H5" s="4"/>
      <c r="I5" s="4"/>
      <c r="J5" s="4"/>
    </row>
    <row r="6" ht="15.75" customHeight="1">
      <c r="A6" s="24" t="s">
        <v>97</v>
      </c>
      <c r="B6" s="25" t="s">
        <v>233</v>
      </c>
      <c r="C6" s="26" t="s">
        <v>234</v>
      </c>
      <c r="D6" s="27">
        <v>0.15</v>
      </c>
      <c r="E6" s="28">
        <v>10.0</v>
      </c>
      <c r="F6" s="92" t="s">
        <v>33</v>
      </c>
      <c r="G6" s="13"/>
      <c r="H6" s="4"/>
      <c r="I6" s="4"/>
      <c r="J6" s="4"/>
      <c r="K6" s="73" t="s">
        <v>226</v>
      </c>
      <c r="L6" s="81" t="s">
        <v>235</v>
      </c>
    </row>
    <row r="7" ht="15.75" customHeight="1">
      <c r="A7" s="24" t="s">
        <v>236</v>
      </c>
      <c r="B7" s="25" t="s">
        <v>237</v>
      </c>
      <c r="C7" s="26" t="s">
        <v>238</v>
      </c>
      <c r="D7" s="27">
        <v>0.3</v>
      </c>
      <c r="E7" s="28">
        <v>10.0</v>
      </c>
      <c r="F7" s="46" t="s">
        <v>36</v>
      </c>
      <c r="G7" s="13"/>
      <c r="H7" s="4"/>
      <c r="I7" s="4"/>
      <c r="J7" s="4"/>
      <c r="K7" s="73" t="s">
        <v>213</v>
      </c>
      <c r="L7" s="81" t="s">
        <v>239</v>
      </c>
    </row>
    <row r="8" ht="15.75" customHeight="1">
      <c r="A8" s="15"/>
      <c r="B8" s="13"/>
      <c r="C8" s="16" t="s">
        <v>18</v>
      </c>
      <c r="D8" s="17">
        <f>SUM(D3:D7)</f>
        <v>1</v>
      </c>
      <c r="E8" s="18">
        <f t="shared" ref="E8:G8" si="1">SUM((E3*$D$3)+(E4*$D$4)+(E5*$D$5)+(E6*$D$6)+(E7*$D$7))/10</f>
        <v>0.96</v>
      </c>
      <c r="F8" s="18">
        <f t="shared" si="1"/>
        <v>0.92</v>
      </c>
      <c r="G8" s="18">
        <f t="shared" si="1"/>
        <v>0</v>
      </c>
      <c r="H8" s="4"/>
      <c r="I8" s="4"/>
      <c r="J8" s="4"/>
      <c r="K8" s="73" t="s">
        <v>226</v>
      </c>
      <c r="L8" s="81" t="s">
        <v>240</v>
      </c>
    </row>
    <row r="9" ht="15.75" customHeight="1">
      <c r="A9" s="4"/>
      <c r="B9" s="4"/>
      <c r="C9" s="4"/>
      <c r="D9" s="19"/>
      <c r="E9" s="4"/>
      <c r="F9" s="4"/>
      <c r="G9" s="4"/>
      <c r="H9" s="4"/>
      <c r="I9" s="4"/>
      <c r="J9" s="4"/>
      <c r="K9" s="73" t="s">
        <v>213</v>
      </c>
      <c r="L9" s="91" t="s">
        <v>241</v>
      </c>
    </row>
    <row r="10" ht="15.75" customHeight="1">
      <c r="A10" s="4"/>
      <c r="B10" s="4"/>
      <c r="C10" s="4"/>
      <c r="D10" s="19" t="s">
        <v>19</v>
      </c>
      <c r="E10" s="4"/>
      <c r="F10" s="4"/>
      <c r="G10" s="4"/>
      <c r="H10" s="4"/>
      <c r="I10" s="4"/>
      <c r="J10" s="4"/>
    </row>
    <row r="11" ht="15.75" customHeight="1"/>
    <row r="12" ht="15.75" customHeight="1">
      <c r="A12" s="20" t="s">
        <v>20</v>
      </c>
    </row>
    <row r="13" ht="15.75" customHeight="1"/>
    <row r="14" ht="15.75" customHeight="1"/>
    <row r="15" ht="15.75" customHeight="1"/>
    <row r="16" ht="15.75" customHeight="1"/>
    <row r="17" ht="15.75" customHeight="1"/>
    <row r="18" ht="15.75" customHeight="1"/>
    <row r="19" ht="15.75" customHeight="1"/>
    <row r="20" ht="15.75" customHeight="1">
      <c r="A20" s="81" t="s">
        <v>230</v>
      </c>
    </row>
    <row r="21" ht="15.75" customHeight="1">
      <c r="A21" s="73" t="s">
        <v>242</v>
      </c>
    </row>
    <row r="22" ht="15.75" customHeight="1">
      <c r="A22" s="81" t="s">
        <v>243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c r="A32" s="91" t="s">
        <v>244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G1"/>
    <mergeCell ref="I2:J2"/>
    <mergeCell ref="A12:C18"/>
  </mergeCells>
  <hyperlinks>
    <hyperlink r:id="rId1" ref="L3"/>
    <hyperlink r:id="rId2" ref="L4"/>
    <hyperlink r:id="rId3" ref="L6"/>
    <hyperlink r:id="rId4" ref="L7"/>
    <hyperlink r:id="rId5" ref="L8"/>
    <hyperlink r:id="rId6" ref="L9"/>
    <hyperlink r:id="rId7" ref="A20"/>
    <hyperlink r:id="rId8" ref="A22"/>
    <hyperlink r:id="rId9" ref="A32"/>
  </hyperlinks>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5" width="19.63"/>
    <col customWidth="1" min="6" max="6" width="18.88"/>
  </cols>
  <sheetData>
    <row r="1" ht="15.75" customHeight="1">
      <c r="A1" s="1" t="s">
        <v>245</v>
      </c>
      <c r="B1" s="2"/>
      <c r="C1" s="2"/>
      <c r="D1" s="2"/>
      <c r="E1" s="2"/>
      <c r="F1" s="2"/>
      <c r="G1" s="2"/>
      <c r="H1" s="3"/>
      <c r="I1" s="4"/>
    </row>
    <row r="2" ht="15.75" customHeight="1">
      <c r="A2" s="21" t="s">
        <v>76</v>
      </c>
      <c r="B2" s="22" t="s">
        <v>77</v>
      </c>
      <c r="C2" s="22" t="s">
        <v>78</v>
      </c>
      <c r="D2" s="22" t="s">
        <v>44</v>
      </c>
      <c r="E2" s="43" t="s">
        <v>246</v>
      </c>
      <c r="F2" s="43" t="s">
        <v>247</v>
      </c>
      <c r="G2" s="43" t="s">
        <v>248</v>
      </c>
      <c r="H2" s="43" t="s">
        <v>249</v>
      </c>
      <c r="I2" s="4"/>
    </row>
    <row r="3" ht="15.75" customHeight="1">
      <c r="A3" s="24" t="s">
        <v>250</v>
      </c>
      <c r="B3" s="25" t="s">
        <v>251</v>
      </c>
      <c r="C3" s="26" t="s">
        <v>252</v>
      </c>
      <c r="D3" s="27">
        <v>0.2</v>
      </c>
      <c r="E3" s="28">
        <v>10.0</v>
      </c>
      <c r="F3" s="46" t="s">
        <v>33</v>
      </c>
      <c r="G3" s="28">
        <v>10.0</v>
      </c>
      <c r="H3" s="28">
        <v>10.0</v>
      </c>
      <c r="I3" s="4"/>
      <c r="J3" s="91" t="s">
        <v>253</v>
      </c>
    </row>
    <row r="4" ht="15.75" customHeight="1">
      <c r="A4" s="44" t="s">
        <v>254</v>
      </c>
      <c r="B4" s="25" t="s">
        <v>255</v>
      </c>
      <c r="C4" s="26" t="s">
        <v>256</v>
      </c>
      <c r="D4" s="27">
        <v>0.1</v>
      </c>
      <c r="E4" s="28">
        <v>10.0</v>
      </c>
      <c r="F4" s="46" t="s">
        <v>33</v>
      </c>
      <c r="G4" s="28">
        <v>10.0</v>
      </c>
      <c r="H4" s="28">
        <v>10.0</v>
      </c>
      <c r="I4" s="4"/>
      <c r="J4" s="81" t="s">
        <v>257</v>
      </c>
    </row>
    <row r="5" ht="15.75" customHeight="1">
      <c r="A5" s="44" t="s">
        <v>258</v>
      </c>
      <c r="B5" s="25" t="s">
        <v>259</v>
      </c>
      <c r="C5" s="11" t="s">
        <v>11</v>
      </c>
      <c r="D5" s="27">
        <v>0.1</v>
      </c>
      <c r="E5" s="28">
        <v>10.0</v>
      </c>
      <c r="F5" s="46" t="s">
        <v>33</v>
      </c>
      <c r="G5" s="28">
        <v>10.0</v>
      </c>
      <c r="H5" s="28">
        <v>10.0</v>
      </c>
      <c r="I5" s="4"/>
      <c r="J5" s="81" t="s">
        <v>260</v>
      </c>
    </row>
    <row r="6" ht="15.75" customHeight="1">
      <c r="A6" s="24" t="s">
        <v>261</v>
      </c>
      <c r="B6" s="25" t="s">
        <v>262</v>
      </c>
      <c r="C6" s="26" t="s">
        <v>263</v>
      </c>
      <c r="D6" s="27">
        <v>0.25</v>
      </c>
      <c r="E6" s="28">
        <v>0.0</v>
      </c>
      <c r="F6" s="92" t="s">
        <v>181</v>
      </c>
      <c r="G6" s="28">
        <v>0.0</v>
      </c>
      <c r="H6" s="28">
        <v>10.0</v>
      </c>
      <c r="I6" s="4"/>
      <c r="J6" s="75"/>
    </row>
    <row r="7" ht="15.75" customHeight="1">
      <c r="A7" s="24" t="s">
        <v>231</v>
      </c>
      <c r="B7" s="25" t="s">
        <v>264</v>
      </c>
      <c r="C7" s="26" t="s">
        <v>265</v>
      </c>
      <c r="D7" s="27">
        <v>0.15</v>
      </c>
      <c r="E7" s="28">
        <v>9.0</v>
      </c>
      <c r="F7" s="92" t="s">
        <v>49</v>
      </c>
      <c r="G7" s="28">
        <v>10.0</v>
      </c>
      <c r="H7" s="28">
        <v>10.0</v>
      </c>
      <c r="I7" s="4"/>
      <c r="J7" s="75"/>
    </row>
    <row r="8" ht="15.75" customHeight="1">
      <c r="A8" s="24" t="s">
        <v>266</v>
      </c>
      <c r="B8" s="25" t="s">
        <v>267</v>
      </c>
      <c r="C8" s="26" t="s">
        <v>238</v>
      </c>
      <c r="D8" s="27">
        <v>0.2</v>
      </c>
      <c r="E8" s="28">
        <v>10.0</v>
      </c>
      <c r="F8" s="46" t="s">
        <v>33</v>
      </c>
      <c r="G8" s="28">
        <v>10.0</v>
      </c>
      <c r="H8" s="28">
        <v>10.0</v>
      </c>
      <c r="I8" s="4"/>
    </row>
    <row r="9" ht="15.75" customHeight="1">
      <c r="A9" s="15"/>
      <c r="B9" s="13"/>
      <c r="C9" s="16" t="s">
        <v>18</v>
      </c>
      <c r="D9" s="17">
        <f>SUM(D3:D8)</f>
        <v>1</v>
      </c>
      <c r="E9" s="18">
        <f t="shared" ref="E9:H9" si="1">SUM((E3*$D$3)+(E4*$D$4)+(E5*$D$5)+(E6*$D$6)+(E7*$D$7)+(E8*$D$8))/10</f>
        <v>0.735</v>
      </c>
      <c r="F9" s="18">
        <f t="shared" si="1"/>
        <v>0.735</v>
      </c>
      <c r="G9" s="18">
        <f t="shared" si="1"/>
        <v>0.75</v>
      </c>
      <c r="H9" s="18">
        <f t="shared" si="1"/>
        <v>1</v>
      </c>
      <c r="I9" s="4"/>
    </row>
    <row r="10" ht="15.75" customHeight="1">
      <c r="A10" s="4"/>
      <c r="B10" s="4"/>
      <c r="C10" s="4"/>
      <c r="D10" s="19"/>
      <c r="E10" s="4"/>
      <c r="F10" s="4"/>
      <c r="G10" s="4"/>
      <c r="H10" s="4"/>
      <c r="I10" s="4"/>
    </row>
    <row r="11" ht="15.75" customHeight="1"/>
    <row r="12" ht="15.75" customHeight="1">
      <c r="A12" s="20" t="s">
        <v>20</v>
      </c>
      <c r="E12" s="73" t="s">
        <v>268</v>
      </c>
    </row>
    <row r="13" ht="15.75" customHeight="1"/>
    <row r="14" ht="15.75" customHeight="1"/>
    <row r="15" ht="15.75" customHeight="1"/>
    <row r="16" ht="15.75" customHeight="1"/>
    <row r="17" ht="15.75" customHeight="1"/>
    <row r="18" ht="15.75" customHeight="1"/>
    <row r="19" ht="15.75" customHeight="1">
      <c r="A19" s="81" t="s">
        <v>269</v>
      </c>
    </row>
    <row r="20" ht="15.75" customHeight="1">
      <c r="A20" s="81" t="s">
        <v>270</v>
      </c>
    </row>
    <row r="21" ht="15.75" customHeight="1">
      <c r="A21" s="81" t="s">
        <v>271</v>
      </c>
    </row>
    <row r="22" ht="15.75" customHeight="1">
      <c r="A22" s="81" t="s">
        <v>272</v>
      </c>
      <c r="B22" s="9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H1"/>
    <mergeCell ref="A12:C18"/>
  </mergeCells>
  <hyperlinks>
    <hyperlink r:id="rId1" ref="J3"/>
    <hyperlink r:id="rId2" ref="J4"/>
    <hyperlink r:id="rId3" ref="J5"/>
    <hyperlink r:id="rId4" ref="A19"/>
    <hyperlink r:id="rId5" ref="A20"/>
    <hyperlink r:id="rId6" ref="A21"/>
    <hyperlink r:id="rId7" ref="A22"/>
  </hyperlinks>
  <drawing r:id="rId8"/>
</worksheet>
</file>