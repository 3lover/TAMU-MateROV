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tc={32d3e804-e9f4-43bc-bc4a-00107d9bd78b}</author>
    <author>tc={c0a598bb-0d69-47d4-85c1-e8231b4bd12b}</author>
    <author>tc={dc9d76ce-e0f4-46a1-877e-39cde390fc3f}</author>
  </authors>
  <commentList>
    <comment authorId="0" xr:uid="{32d3e804-e9f4-43bc-bc4a-00107d9bd78b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Altium has a cleaner UI, however its greater breadth of features is said to make it more difficult to learn, on the timeline of a few weeks to months instead of a few hours like KiCAD
</t>
      </text>
    </comment>
    <comment authorId="1" xr:uid="{c0a598bb-0d69-47d4-85c1-e8231b4bd12b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Altium is more professional than KiCAD, so it is used in more places, however KiCAD has the same fundamentals and is also used in a lot of places
</t>
      </text>
    </comment>
    <comment authorId="2" xr:uid="{dc9d76ce-e0f4-46a1-877e-39cde390fc3f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Altium has all the capabilities of KiCAD, plus some others, although all capabilities we need for the rover are handled by KiCAD, since we aren't doing anything crazy
</t>
      </text>
    </comment>
  </commentList>
</comments>
</file>

<file path=xl/sharedStrings.xml><?xml version="1.0" encoding="utf-8"?>
<sst xmlns="http://schemas.openxmlformats.org/spreadsheetml/2006/main" count="10" uniqueCount="10">
  <si>
    <t>Category</t>
  </si>
  <si>
    <t>Weight</t>
  </si>
  <si>
    <t>Max Score</t>
  </si>
  <si>
    <t>KiCAD</t>
  </si>
  <si>
    <t>Altium</t>
  </si>
  <si>
    <r>
      <rPr>
        <rFont val="Arial"/>
        <b/>
        <color theme="1"/>
      </rPr>
      <t xml:space="preserve">Ease of Learning
</t>
    </r>
    <r>
      <rPr>
        <rFont val="Arial"/>
        <b val="0"/>
        <color theme="1"/>
      </rPr>
      <t>How easy is this software to use, how easy is it to learn, and how fast can a person become proficient with it? Measured in expected hours to learn, higher numbers are negative</t>
    </r>
  </si>
  <si>
    <r>
      <rPr>
        <rFont val="Arial"/>
        <b/>
        <color theme="1"/>
      </rPr>
      <t xml:space="preserve">Capabilities
</t>
    </r>
    <r>
      <rPr>
        <rFont val="Arial"/>
        <b val="0"/>
        <color theme="1"/>
      </rPr>
      <t>What can this software do, how many features does it have, and can it do the things we need for modeling? Measured in estimated percent of capabilities fufilled</t>
    </r>
  </si>
  <si>
    <r>
      <rPr>
        <rFont val="Arial"/>
        <b/>
        <color theme="1"/>
      </rPr>
      <t xml:space="preserve">Standardization
</t>
    </r>
    <r>
      <rPr>
        <rFont val="Arial"/>
        <b val="0"/>
        <color theme="1"/>
      </rPr>
      <t>How often is this software used in industry, is this software well viewed or is it not utilized often? Measured in relative popularity</t>
    </r>
  </si>
  <si>
    <t>Total Weighted Score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</si>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</sst>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5" fontId="2" numFmtId="10" xfId="0" applyAlignment="1" applyFont="1" applyNumberForma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6" fontId="2" numFmtId="10" xfId="0" applyAlignment="1" applyFont="1" applyNumberFormat="1">
      <alignment horizontal="center" readingOrder="0" shrinkToFit="0" vertical="center" wrapText="1"/>
    </xf>
    <xf borderId="0" fillId="3" fontId="2" numFmtId="10" xfId="0" applyAlignment="1" applyFont="1" applyNumberFormat="1">
      <alignment horizontal="center" shrinkToFit="0" vertical="center" wrapText="1"/>
    </xf>
    <xf borderId="0" fillId="4" fontId="2" numFmtId="10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rey Love" id="{6a7f10c4-11ed-4970-bf72-ecedfacf4e2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" dT="2025-06-14T21:37:42.00" personId="{6a7f10c4-11ed-4970-bf72-ecedfacf4e2b}" id="{c0a598bb-0d69-47d4-85c1-e8231b4bd12b}" done="0">
    <x18tc:text xml:space="preserve">Altium is more professional than KiCAD, so it is used in more places, however KiCAD has the same fundamentals and is also used in a lot of places</x18tc:text>
  </x18tc:threadedComment>
  <x18tc:threadedComment ref="E2" dT="2025-06-14T21:36:31.00" personId="{6a7f10c4-11ed-4970-bf72-ecedfacf4e2b}" id="{32d3e804-e9f4-43bc-bc4a-00107d9bd78b}" done="0">
    <x18tc:text xml:space="preserve">Altium has a cleaner UI, however its greater breadth of features is said to make it more difficult to learn, on the timeline of a few weeks to months instead of a few hours like KiCAD</x18tc:text>
  </x18tc:threadedComment>
  <x18tc:threadedComment ref="E3" dT="2025-06-14T21:33:08.00" personId="{6a7f10c4-11ed-4970-bf72-ecedfacf4e2b}" id="{dc9d76ce-e0f4-46a1-877e-39cde390fc3f}" done="0">
    <x18tc:text xml:space="preserve">Altium has all the capabilities of KiCAD, plus some others, although all capabilities we need for the rover are handled by KiCAD, since we aren't doing anything crazy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4" max="5" width="36.75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82.5" customHeight="1">
      <c r="A2" s="4" t="s">
        <v>5</v>
      </c>
      <c r="B2" s="5">
        <v>0.4</v>
      </c>
      <c r="C2" s="6">
        <v>30.0</v>
      </c>
      <c r="D2" s="7">
        <v>5.0</v>
      </c>
      <c r="E2" s="7">
        <v>30.0</v>
      </c>
    </row>
    <row r="3" ht="82.5" customHeight="1">
      <c r="A3" s="4" t="s">
        <v>6</v>
      </c>
      <c r="B3" s="5">
        <v>0.5</v>
      </c>
      <c r="C3" s="6">
        <v>100.0</v>
      </c>
      <c r="D3" s="7">
        <v>100.0</v>
      </c>
      <c r="E3" s="7">
        <v>100.0</v>
      </c>
    </row>
    <row r="4" ht="82.5" customHeight="1">
      <c r="A4" s="4" t="s">
        <v>7</v>
      </c>
      <c r="B4" s="5">
        <v>0.1</v>
      </c>
      <c r="C4" s="6">
        <v>10.0</v>
      </c>
      <c r="D4" s="7">
        <v>8.0</v>
      </c>
      <c r="E4" s="7">
        <v>10.0</v>
      </c>
    </row>
    <row r="5" ht="19.5" customHeight="1">
      <c r="A5" s="8" t="s">
        <v>8</v>
      </c>
      <c r="B5" s="9">
        <f>SUM(B2:B4)</f>
        <v>1</v>
      </c>
      <c r="C5" s="8" t="s">
        <v>9</v>
      </c>
      <c r="D5" s="10">
        <f>(B2-(D2/C2)*B2)+(D3/C3)*B3+(D4/C4)*B4</f>
        <v>0.9133333333</v>
      </c>
      <c r="E5" s="11">
        <f>(B2-(E2/C2)*B2)+(E3/C3)*B3+(E4/C4)*B4</f>
        <v>0.6</v>
      </c>
    </row>
  </sheetData>
  <drawing r:id="rId4"/>
  <legacyDrawing r:id="rId5"/>
</worksheet>
</file>