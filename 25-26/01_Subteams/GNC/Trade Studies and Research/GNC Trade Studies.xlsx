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rating System" sheetId="1" r:id="rId5"/>
    <sheet state="visible" name="Simulation SoftwareTest Cases" sheetId="2" r:id="rId6"/>
    <sheet state="visible" name="Camera Systems" sheetId="3" r:id="rId7"/>
    <sheet state="visible" name="IMUs" sheetId="4" r:id="rId8"/>
    <sheet state="visible" name="SBC" sheetId="5" r:id="rId9"/>
    <sheet state="visible" name="Example" sheetId="6" r:id="rId10"/>
  </sheets>
  <definedNames/>
  <calcPr/>
</workbook>
</file>

<file path=xl/sharedStrings.xml><?xml version="1.0" encoding="utf-8"?>
<sst xmlns="http://schemas.openxmlformats.org/spreadsheetml/2006/main" count="170" uniqueCount="95">
  <si>
    <t>Operating System</t>
  </si>
  <si>
    <t>Criteria</t>
  </si>
  <si>
    <t>Explanation</t>
  </si>
  <si>
    <t>Grade</t>
  </si>
  <si>
    <t>Weight</t>
  </si>
  <si>
    <t>Blue OS</t>
  </si>
  <si>
    <t>ROS2</t>
  </si>
  <si>
    <t>Resource Requirements</t>
  </si>
  <si>
    <t>Measures how efficiently the OS uses CPU, memory, and storage resources. A higher score indicates that the OS can run on low-power embedded hardware (e.g., Raspberry Pi or NVIDIA Jetson) without requiring significant system resources.</t>
  </si>
  <si>
    <t>10 = high                            
5 = medium                                              
1 = low                                                 
0 = Fail</t>
  </si>
  <si>
    <t>5</t>
  </si>
  <si>
    <t>Performance</t>
  </si>
  <si>
    <t>Evaluates the OS’s real-time response, task scheduling precision, and throughput under processing loads. High performance means minimal latency, consistent timing, and stable operation.</t>
  </si>
  <si>
    <t>7</t>
  </si>
  <si>
    <t>Ease of Development</t>
  </si>
  <si>
    <t>Assesses how developer-friendly the OS environment is, including documentation quality, API support, debugging tools, and integration with development frameworks such as Python/C++, Docker, or VSCode.</t>
  </si>
  <si>
    <t>9</t>
  </si>
  <si>
    <t>Networking and Communication</t>
  </si>
  <si>
    <t>Measures how effectively the OS supports communication between modules and devices. Includes support for middleware (e.g., DDS, MAVLink, MQTT), TCP/UDP protocols, and the camera.</t>
  </si>
  <si>
    <t>TOTALS:</t>
  </si>
  <si>
    <t>When trying to make the best design decisions for your project, trade studies are there to help break down any bias. Based on research and evidence you find, fill in the options and grade them based on the criteria you have set. Whichever option has the highest percentage "wins" the trade study by the criteria and grades you have assigned.</t>
  </si>
  <si>
    <t>Trade Studies Topics</t>
  </si>
  <si>
    <t>Operating Software to Use</t>
  </si>
  <si>
    <t>Optimal Camera Setups</t>
  </si>
  <si>
    <t>Simulation Software/Test Cases</t>
  </si>
  <si>
    <t>UUV Simulator</t>
  </si>
  <si>
    <t>ArduSub SITL</t>
  </si>
  <si>
    <t>Ease of Use</t>
  </si>
  <si>
    <t>Setting up each of the softwares for our use cases</t>
  </si>
  <si>
    <t>10 = high,                            
5 = medium                                              
1 = low                                                 
0 = Fail</t>
  </si>
  <si>
    <t>8</t>
  </si>
  <si>
    <t>Cost</t>
  </si>
  <si>
    <t>Open source vs. paid software</t>
  </si>
  <si>
    <t>10</t>
  </si>
  <si>
    <t>Support from Other Teams</t>
  </si>
  <si>
    <t>Documentation from other teams using similar software</t>
  </si>
  <si>
    <t>1</t>
  </si>
  <si>
    <t>Accuracy</t>
  </si>
  <si>
    <t>How close this is to real life and how many variables can be manipulated.</t>
  </si>
  <si>
    <t>6</t>
  </si>
  <si>
    <t xml:space="preserve">Testing these softwares require linux </t>
  </si>
  <si>
    <t>Camera Systems</t>
  </si>
  <si>
    <t xml:space="preserve">Criteria              
</t>
  </si>
  <si>
    <t xml:space="preserve">Explanation               
</t>
  </si>
  <si>
    <t xml:space="preserve">Grade                        
</t>
  </si>
  <si>
    <t xml:space="preserve">Weight         
</t>
  </si>
  <si>
    <t>Fixed Baseline Stereo (2 cameras)</t>
  </si>
  <si>
    <t>Auxililary Stereo</t>
  </si>
  <si>
    <t>Convergent Stereo</t>
  </si>
  <si>
    <t>Depth Perception</t>
  </si>
  <si>
    <t xml:space="preserve">Needs to be easily mountable on the ROV for whatever design chosen. Should not be hard to readjust or </t>
  </si>
  <si>
    <t>Optics / View</t>
  </si>
  <si>
    <t>Need to have good visibility of surroundings in order for ROV to efficiently notice and perform competition tasks</t>
  </si>
  <si>
    <t>Should not be hard to use as need to get tasks done in a timely and efficient manner</t>
  </si>
  <si>
    <t>Weight/Orientation</t>
  </si>
  <si>
    <t>Should be in such a configuration that doesn't hinder movement of the ROV</t>
  </si>
  <si>
    <t>^Ensure this totals 100% if you change them</t>
  </si>
  <si>
    <t>IMUs</t>
  </si>
  <si>
    <t xml:space="preserve">Criteria              </t>
  </si>
  <si>
    <t>MEMS- IMUs</t>
  </si>
  <si>
    <t>FOG IMUs</t>
  </si>
  <si>
    <t>VSG IMUs</t>
  </si>
  <si>
    <t>Needs to be able to accurately collect data regarding the ROV's movement to efficiently guage location and effectively complete tasks</t>
  </si>
  <si>
    <t>Ease of Integration</t>
  </si>
  <si>
    <t>Needs to be easily integratable with the OS chosen</t>
  </si>
  <si>
    <t>Resistant to Environmental Hurdles</t>
  </si>
  <si>
    <t>Should be resistant to environmental stresses such as roughness in the water to ensure ROV can complete tasks without additional hurdles</t>
  </si>
  <si>
    <t>Durable</t>
  </si>
  <si>
    <t>Should not be easily susceptible to change from stresses that come from underwater usage</t>
  </si>
  <si>
    <t>SBCs</t>
  </si>
  <si>
    <t>Raspberry Pi 5</t>
  </si>
  <si>
    <t>Jetson Nano</t>
  </si>
  <si>
    <t>BeagleBone Blue</t>
  </si>
  <si>
    <t>The upfront cost of purchasing the device. Lower costs were given higher scores</t>
  </si>
  <si>
    <t>2</t>
  </si>
  <si>
    <t>Documentation found online and compatibility with our best ranked OS</t>
  </si>
  <si>
    <t>3</t>
  </si>
  <si>
    <t>Connectivity / I/O for ROV</t>
  </si>
  <si>
    <t>Bandwidth limits of each SBC and the processor's capabilities</t>
  </si>
  <si>
    <t>Past Team Support</t>
  </si>
  <si>
    <t>Past documentation from other teams on using each SBC</t>
  </si>
  <si>
    <t>4</t>
  </si>
  <si>
    <t>Material of the Moon Rover Chassis</t>
  </si>
  <si>
    <t>Aluminum
Alloy</t>
  </si>
  <si>
    <t>Titanium
Alloy</t>
  </si>
  <si>
    <t>Magnesium
Alloy</t>
  </si>
  <si>
    <t>Important for mobility and overall balance of rover
Big determiner of the speed of the rover</t>
  </si>
  <si>
    <t>Don't use these numbers it might be garbage for your use case</t>
  </si>
  <si>
    <t>Strength</t>
  </si>
  <si>
    <t>Must be able to support the different subsystems of the rover with no issues or risk</t>
  </si>
  <si>
    <t>Thermal Capabilities</t>
  </si>
  <si>
    <t>Needs to be able to withstand the extreme temperatures of the lunar environment</t>
  </si>
  <si>
    <t>Fatigue Resistance</t>
  </si>
  <si>
    <t>Needs to be able to withstand the harsh lunar dust and constant strain placed on it by the environment and rover components</t>
  </si>
  <si>
    <t>Important to consider for the customer-defined requirement of cost</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</si>
</sst>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8.0"/>
      <color theme="1"/>
      <name val="Arial"/>
    </font>
    <font/>
    <font>
      <color theme="1"/>
      <name val="Arial"/>
    </font>
    <font>
      <b/>
      <sz val="12.0"/>
      <color theme="1"/>
      <name val="Arial"/>
    </font>
    <font>
      <b/>
      <sz val="14.0"/>
      <color theme="1"/>
      <name val="Arial"/>
    </font>
    <font>
      <color theme="1"/>
      <name val="Roboto"/>
    </font>
    <font>
      <color theme="1"/>
      <name val="Arial"/>
      <scheme val="minor"/>
    </font>
    <font>
      <b/>
      <sz val="8.0"/>
      <color theme="1"/>
      <name val="Arial"/>
    </font>
    <font>
      <b/>
      <color theme="1"/>
      <name val="Arial"/>
    </font>
    <font>
      <b/>
      <color rgb="FFFF0000"/>
      <name val="Arial"/>
    </font>
    <font>
      <sz val="13.0"/>
      <color theme="1"/>
      <name val="Arial"/>
    </font>
    <font>
      <b/>
      <color theme="1"/>
      <name val="Arial"/>
      <scheme val="minor"/>
    </font>
    <font>
      <b/>
      <sz val="18.0"/>
      <color rgb="FFFF0000"/>
      <name val="Arial"/>
    </font>
    <font>
      <color rgb="FF000000"/>
      <name val="Arial"/>
    </font>
  </fonts>
  <fills count="10">
    <fill>
      <patternFill patternType="none"/>
    </fill>
    <fill>
      <patternFill patternType="lightGray"/>
    </fill>
    <fill>
      <patternFill patternType="solid">
        <fgColor rgb="FF999999"/>
        <bgColor rgb="FF999999"/>
      </patternFill>
    </fill>
    <fill>
      <patternFill patternType="solid">
        <fgColor rgb="FFCCCCCC"/>
        <bgColor rgb="FFCCCCCC"/>
      </patternFill>
    </fill>
    <fill>
      <patternFill patternType="solid">
        <fgColor rgb="FFA4C2F4"/>
        <bgColor rgb="FFA4C2F4"/>
      </patternFill>
    </fill>
    <fill>
      <patternFill patternType="solid">
        <fgColor rgb="FFFFFFFF"/>
        <bgColor rgb="FFFFFFFF"/>
      </patternFill>
    </fill>
    <fill>
      <patternFill patternType="solid">
        <fgColor rgb="FF34A853"/>
        <bgColor rgb="FF34A853"/>
      </patternFill>
    </fill>
    <fill>
      <patternFill patternType="solid">
        <fgColor rgb="FFFF0000"/>
        <bgColor rgb="FFFF0000"/>
      </patternFill>
    </fill>
    <fill>
      <patternFill patternType="solid">
        <fgColor rgb="FFED5D2B"/>
        <bgColor rgb="FFED5D2B"/>
      </patternFill>
    </fill>
    <fill>
      <patternFill patternType="solid">
        <fgColor rgb="FFEA4335"/>
        <bgColor rgb="FFEA4335"/>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center" readingOrder="0" shrinkToFit="0" vertical="center" wrapText="1"/>
    </xf>
    <xf borderId="5" fillId="3" fontId="4" numFmtId="0" xfId="0" applyAlignment="1" applyBorder="1" applyFont="1">
      <alignment horizontal="center" readingOrder="0" shrinkToFit="0" vertical="center" wrapText="1"/>
    </xf>
    <xf borderId="5" fillId="4" fontId="5" numFmtId="0" xfId="0" applyAlignment="1" applyBorder="1" applyFill="1" applyFont="1">
      <alignment horizontal="center" readingOrder="0" vertical="center"/>
    </xf>
    <xf borderId="4" fillId="0" fontId="3" numFmtId="0" xfId="0" applyAlignment="1" applyBorder="1" applyFont="1">
      <alignment horizontal="center" readingOrder="0" vertical="center"/>
    </xf>
    <xf borderId="5" fillId="0" fontId="3" numFmtId="0" xfId="0" applyAlignment="1" applyBorder="1" applyFont="1">
      <alignment horizontal="center" readingOrder="0" shrinkToFit="0" vertical="center" wrapText="1"/>
    </xf>
    <xf borderId="5" fillId="5" fontId="6" numFmtId="0" xfId="0" applyAlignment="1" applyBorder="1" applyFill="1" applyFont="1">
      <alignment horizontal="center" readingOrder="0" shrinkToFit="0" vertical="center" wrapText="1"/>
    </xf>
    <xf borderId="5" fillId="0" fontId="3" numFmtId="9" xfId="0" applyAlignment="1" applyBorder="1" applyFont="1" applyNumberFormat="1">
      <alignment horizontal="center" readingOrder="0" vertical="center"/>
    </xf>
    <xf borderId="5" fillId="0" fontId="3" numFmtId="49" xfId="0" applyAlignment="1" applyBorder="1" applyFont="1" applyNumberFormat="1">
      <alignment horizontal="center" readingOrder="0" shrinkToFit="0" vertical="center" wrapText="1"/>
    </xf>
    <xf borderId="5" fillId="0" fontId="3" numFmtId="9" xfId="0" applyAlignment="1" applyBorder="1" applyFont="1" applyNumberFormat="1">
      <alignment horizontal="center" vertical="center"/>
    </xf>
    <xf borderId="4" fillId="0" fontId="3"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4" fillId="0" fontId="3" numFmtId="0" xfId="0" applyBorder="1" applyFont="1"/>
    <xf borderId="5" fillId="0" fontId="3" numFmtId="0" xfId="0" applyBorder="1" applyFont="1"/>
    <xf borderId="6" fillId="0" fontId="8" numFmtId="0" xfId="0" applyAlignment="1" applyBorder="1" applyFont="1">
      <alignment horizontal="center" vertical="center"/>
    </xf>
    <xf borderId="7" fillId="0" fontId="9" numFmtId="9" xfId="0" applyAlignment="1" applyBorder="1" applyFont="1" applyNumberFormat="1">
      <alignment horizontal="center" vertical="center"/>
    </xf>
    <xf borderId="5" fillId="6" fontId="3" numFmtId="10" xfId="0" applyAlignment="1" applyBorder="1" applyFill="1" applyFont="1" applyNumberFormat="1">
      <alignment horizontal="center" vertical="center"/>
    </xf>
    <xf borderId="0" fillId="0" fontId="10" numFmtId="0" xfId="0" applyAlignment="1" applyFont="1">
      <alignment horizontal="center" shrinkToFit="0" wrapText="1"/>
    </xf>
    <xf borderId="0" fillId="0" fontId="11" numFmtId="0" xfId="0" applyAlignment="1" applyFont="1">
      <alignment shrinkToFit="0" vertical="top" wrapText="1"/>
    </xf>
    <xf borderId="0" fillId="0" fontId="12" numFmtId="0" xfId="0" applyAlignment="1" applyFont="1">
      <alignment readingOrder="0"/>
    </xf>
    <xf borderId="0" fillId="0" fontId="7" numFmtId="0" xfId="0" applyAlignment="1" applyFont="1">
      <alignment readingOrder="0"/>
    </xf>
    <xf borderId="4" fillId="3" fontId="4" numFmtId="0" xfId="0" applyAlignment="1" applyBorder="1" applyFont="1">
      <alignment horizontal="center" readingOrder="0" shrinkToFit="0" wrapText="1"/>
    </xf>
    <xf borderId="5" fillId="3" fontId="4" numFmtId="0" xfId="0" applyAlignment="1" applyBorder="1" applyFont="1">
      <alignment horizontal="center" readingOrder="0" shrinkToFit="0" wrapText="1"/>
    </xf>
    <xf borderId="5" fillId="4" fontId="5" numFmtId="0" xfId="0" applyAlignment="1" applyBorder="1" applyFont="1">
      <alignment horizontal="center" readingOrder="0"/>
    </xf>
    <xf borderId="0" fillId="0" fontId="13" numFmtId="0" xfId="0" applyAlignment="1" applyFont="1">
      <alignment horizontal="center" shrinkToFit="0" wrapText="1"/>
    </xf>
    <xf borderId="5" fillId="5" fontId="6" numFmtId="0" xfId="0" applyAlignment="1" applyBorder="1" applyFont="1">
      <alignment horizontal="center" shrinkToFit="0" vertical="center" wrapText="1"/>
    </xf>
    <xf borderId="5" fillId="0" fontId="3" numFmtId="9" xfId="0" applyAlignment="1" applyBorder="1" applyFont="1" applyNumberFormat="1">
      <alignment horizontal="center" readingOrder="0" shrinkToFit="0" vertical="center" wrapText="1"/>
    </xf>
    <xf borderId="5" fillId="0" fontId="3" numFmtId="9" xfId="0" applyAlignment="1" applyBorder="1" applyFont="1" applyNumberFormat="1">
      <alignment horizontal="center" shrinkToFit="0" vertical="center" wrapText="1"/>
    </xf>
    <xf borderId="4" fillId="0" fontId="3" numFmtId="0" xfId="0" applyAlignment="1" applyBorder="1" applyFont="1">
      <alignment horizontal="center" shrinkToFit="0" vertical="center" wrapText="1"/>
    </xf>
    <xf borderId="5" fillId="0" fontId="3" numFmtId="0" xfId="0" applyAlignment="1" applyBorder="1" applyFont="1">
      <alignment horizontal="center" shrinkToFit="0" vertical="center" wrapText="1"/>
    </xf>
    <xf borderId="6" fillId="0" fontId="8" numFmtId="0" xfId="0" applyAlignment="1" applyBorder="1" applyFont="1">
      <alignment horizontal="center" shrinkToFit="0" vertical="center" wrapText="1"/>
    </xf>
    <xf borderId="7" fillId="0" fontId="9" numFmtId="9" xfId="0" applyAlignment="1" applyBorder="1" applyFont="1" applyNumberFormat="1">
      <alignment horizontal="center" shrinkToFit="0" vertical="center" wrapText="1"/>
    </xf>
    <xf borderId="5" fillId="6" fontId="3" numFmtId="10" xfId="0" applyAlignment="1" applyBorder="1" applyFont="1" applyNumberFormat="1">
      <alignment horizontal="center" shrinkToFit="0" vertical="center" wrapText="1"/>
    </xf>
    <xf borderId="5" fillId="4" fontId="5" numFmtId="0" xfId="0" applyAlignment="1" applyBorder="1" applyFont="1">
      <alignment horizontal="center" readingOrder="0" shrinkToFit="0" wrapText="1"/>
    </xf>
    <xf borderId="5" fillId="0" fontId="3" numFmtId="0" xfId="0" applyAlignment="1" applyBorder="1" applyFont="1">
      <alignment horizontal="center" readingOrder="0" vertical="center"/>
    </xf>
    <xf borderId="5" fillId="0" fontId="3" numFmtId="49" xfId="0" applyAlignment="1" applyBorder="1" applyFont="1" applyNumberFormat="1">
      <alignment horizontal="center" readingOrder="0" vertical="center"/>
    </xf>
    <xf borderId="4" fillId="0" fontId="3" numFmtId="0" xfId="0" applyAlignment="1" applyBorder="1" applyFont="1">
      <alignment horizontal="center" vertical="center"/>
    </xf>
    <xf borderId="5" fillId="0" fontId="3" numFmtId="0" xfId="0" applyAlignment="1" applyBorder="1" applyFont="1">
      <alignment horizontal="center" vertical="center"/>
    </xf>
    <xf borderId="0" fillId="0" fontId="1" numFmtId="0" xfId="0" applyAlignment="1" applyFont="1">
      <alignment horizontal="center" shrinkToFit="0" wrapText="1"/>
    </xf>
    <xf borderId="1" fillId="2" fontId="1" numFmtId="0" xfId="0" applyAlignment="1" applyBorder="1" applyFont="1">
      <alignment horizontal="center"/>
    </xf>
    <xf borderId="7" fillId="3" fontId="4" numFmtId="0" xfId="0" applyAlignment="1" applyBorder="1" applyFont="1">
      <alignment horizontal="center" shrinkToFit="0" wrapText="1"/>
    </xf>
    <xf borderId="3" fillId="3" fontId="4" numFmtId="0" xfId="0" applyAlignment="1" applyBorder="1" applyFont="1">
      <alignment horizontal="center" shrinkToFit="0" wrapText="1"/>
    </xf>
    <xf borderId="3" fillId="4" fontId="5" numFmtId="0" xfId="0" applyAlignment="1" applyBorder="1" applyFont="1">
      <alignment horizontal="center"/>
    </xf>
    <xf borderId="8" fillId="0" fontId="3" numFmtId="0" xfId="0" applyBorder="1" applyFont="1"/>
    <xf borderId="5" fillId="0" fontId="3" numFmtId="49" xfId="0" applyAlignment="1" applyBorder="1" applyFont="1" applyNumberFormat="1">
      <alignment horizontal="center" shrinkToFit="0" vertical="center" wrapText="1"/>
    </xf>
    <xf borderId="0" fillId="7" fontId="3" numFmtId="0" xfId="0" applyAlignment="1" applyFill="1" applyFont="1">
      <alignment horizontal="center" shrinkToFit="0" wrapText="1"/>
    </xf>
    <xf borderId="5" fillId="5" fontId="14" numFmtId="0" xfId="0" applyAlignment="1" applyBorder="1" applyFont="1">
      <alignment horizontal="center" shrinkToFit="0" vertical="center" wrapText="1"/>
    </xf>
    <xf borderId="5" fillId="8" fontId="3" numFmtId="10" xfId="0" applyAlignment="1" applyBorder="1" applyFill="1" applyFont="1" applyNumberFormat="1">
      <alignment horizontal="center" shrinkToFit="0" vertical="center" wrapText="1"/>
    </xf>
    <xf borderId="5" fillId="9" fontId="3" numFmtId="10" xfId="0" applyAlignment="1" applyBorder="1" applyFill="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7.75"/>
    <col customWidth="1" min="5" max="6" width="12.63"/>
  </cols>
  <sheetData>
    <row r="1" ht="15.75" customHeight="1">
      <c r="A1" s="1" t="s">
        <v>0</v>
      </c>
      <c r="B1" s="2"/>
      <c r="C1" s="2"/>
      <c r="D1" s="2"/>
      <c r="E1" s="2"/>
      <c r="F1" s="3"/>
      <c r="G1" s="4"/>
    </row>
    <row r="2">
      <c r="A2" s="5" t="s">
        <v>1</v>
      </c>
      <c r="B2" s="6" t="s">
        <v>2</v>
      </c>
      <c r="C2" s="6" t="s">
        <v>3</v>
      </c>
      <c r="D2" s="6" t="s">
        <v>4</v>
      </c>
      <c r="E2" s="7" t="s">
        <v>5</v>
      </c>
      <c r="F2" s="7" t="s">
        <v>6</v>
      </c>
      <c r="G2" s="4"/>
    </row>
    <row r="3" ht="15.75" customHeight="1">
      <c r="A3" s="8" t="s">
        <v>7</v>
      </c>
      <c r="B3" s="9" t="s">
        <v>8</v>
      </c>
      <c r="C3" s="10" t="s">
        <v>9</v>
      </c>
      <c r="D3" s="11">
        <v>0.4</v>
      </c>
      <c r="E3" s="9">
        <v>9.0</v>
      </c>
      <c r="F3" s="12" t="s">
        <v>10</v>
      </c>
      <c r="G3" s="4"/>
    </row>
    <row r="4" ht="15.75" customHeight="1">
      <c r="A4" s="8" t="s">
        <v>11</v>
      </c>
      <c r="B4" s="9" t="s">
        <v>12</v>
      </c>
      <c r="C4" s="10" t="s">
        <v>9</v>
      </c>
      <c r="D4" s="13">
        <v>0.25</v>
      </c>
      <c r="E4" s="9">
        <v>8.0</v>
      </c>
      <c r="F4" s="12" t="s">
        <v>13</v>
      </c>
      <c r="G4" s="4"/>
    </row>
    <row r="5" ht="15.75" customHeight="1">
      <c r="A5" s="8" t="s">
        <v>14</v>
      </c>
      <c r="B5" s="9" t="s">
        <v>15</v>
      </c>
      <c r="C5" s="10" t="s">
        <v>9</v>
      </c>
      <c r="D5" s="11">
        <v>0.25</v>
      </c>
      <c r="E5" s="9">
        <v>6.0</v>
      </c>
      <c r="F5" s="12" t="s">
        <v>16</v>
      </c>
      <c r="G5" s="4"/>
    </row>
    <row r="6" ht="15.75" customHeight="1">
      <c r="A6" s="14" t="s">
        <v>17</v>
      </c>
      <c r="B6" s="15" t="s">
        <v>18</v>
      </c>
      <c r="C6" s="10" t="s">
        <v>9</v>
      </c>
      <c r="D6" s="11">
        <v>0.1</v>
      </c>
      <c r="E6" s="9">
        <v>7.0</v>
      </c>
      <c r="F6" s="12" t="s">
        <v>16</v>
      </c>
      <c r="G6" s="4"/>
    </row>
    <row r="7" ht="15.75" customHeight="1">
      <c r="A7" s="16"/>
      <c r="B7" s="17"/>
      <c r="C7" s="18" t="s">
        <v>19</v>
      </c>
      <c r="D7" s="19">
        <f>SUM(D3:D6)</f>
        <v>1</v>
      </c>
      <c r="E7" s="20">
        <f t="shared" ref="E7:F7" si="1">SUM((E3*$D$3)+(E4*$D$4)+(E5*$D$5)+(E6*$D$6))/10</f>
        <v>0.78</v>
      </c>
      <c r="F7" s="20">
        <f t="shared" si="1"/>
        <v>0.69</v>
      </c>
      <c r="G7" s="4"/>
    </row>
    <row r="8" ht="15.75" customHeight="1">
      <c r="A8" s="4"/>
      <c r="B8" s="4"/>
      <c r="C8" s="4"/>
      <c r="D8" s="21"/>
      <c r="E8" s="4"/>
      <c r="F8" s="4"/>
      <c r="G8" s="4"/>
    </row>
    <row r="9" ht="15.75" customHeight="1"/>
    <row r="10" ht="15.75" customHeight="1">
      <c r="A10" s="22" t="s">
        <v>20</v>
      </c>
    </row>
    <row r="11" ht="15.75" customHeight="1"/>
    <row r="12" ht="15.75" customHeight="1"/>
    <row r="13" ht="15.75" customHeight="1"/>
    <row r="14" ht="15.75" customHeight="1"/>
    <row r="15" ht="15.75" customHeight="1"/>
    <row r="16" ht="15.75" customHeight="1"/>
    <row r="17" ht="15.75" customHeight="1"/>
    <row r="18" ht="15.75" customHeight="1">
      <c r="A18" s="23" t="s">
        <v>21</v>
      </c>
    </row>
    <row r="19" ht="15.75" customHeight="1">
      <c r="A19" s="24" t="s">
        <v>22</v>
      </c>
    </row>
    <row r="20" ht="15.75" customHeight="1">
      <c r="A20" s="24"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10:C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7.75"/>
    <col customWidth="1" min="5" max="5" width="18.0"/>
    <col customWidth="1" min="6" max="6" width="17.25"/>
  </cols>
  <sheetData>
    <row r="1" ht="15.75" customHeight="1">
      <c r="A1" s="1" t="s">
        <v>24</v>
      </c>
      <c r="B1" s="2"/>
      <c r="C1" s="2"/>
      <c r="D1" s="2"/>
      <c r="E1" s="2"/>
      <c r="F1" s="3"/>
      <c r="G1" s="4"/>
      <c r="H1" s="4"/>
    </row>
    <row r="2" ht="15.75" customHeight="1">
      <c r="A2" s="25" t="s">
        <v>1</v>
      </c>
      <c r="B2" s="26" t="s">
        <v>2</v>
      </c>
      <c r="C2" s="26" t="s">
        <v>3</v>
      </c>
      <c r="D2" s="26" t="s">
        <v>4</v>
      </c>
      <c r="E2" s="27" t="s">
        <v>25</v>
      </c>
      <c r="F2" s="27" t="s">
        <v>26</v>
      </c>
      <c r="G2" s="4"/>
      <c r="H2" s="28"/>
    </row>
    <row r="3" ht="15.75" customHeight="1">
      <c r="A3" s="14" t="s">
        <v>27</v>
      </c>
      <c r="B3" s="9" t="s">
        <v>28</v>
      </c>
      <c r="C3" s="29" t="s">
        <v>29</v>
      </c>
      <c r="D3" s="30">
        <v>0.55</v>
      </c>
      <c r="E3" s="9">
        <v>6.0</v>
      </c>
      <c r="F3" s="12" t="s">
        <v>30</v>
      </c>
      <c r="G3" s="4"/>
      <c r="H3" s="4"/>
    </row>
    <row r="4" ht="15.75" customHeight="1">
      <c r="A4" s="14" t="s">
        <v>31</v>
      </c>
      <c r="B4" s="9" t="s">
        <v>32</v>
      </c>
      <c r="C4" s="29" t="s">
        <v>29</v>
      </c>
      <c r="D4" s="30">
        <v>0.1</v>
      </c>
      <c r="E4" s="9">
        <v>10.0</v>
      </c>
      <c r="F4" s="12" t="s">
        <v>33</v>
      </c>
      <c r="G4" s="4"/>
      <c r="H4" s="4"/>
    </row>
    <row r="5" ht="15.75" customHeight="1">
      <c r="A5" s="14" t="s">
        <v>34</v>
      </c>
      <c r="B5" s="9" t="s">
        <v>35</v>
      </c>
      <c r="C5" s="29" t="s">
        <v>29</v>
      </c>
      <c r="D5" s="30">
        <v>0.1</v>
      </c>
      <c r="E5" s="9">
        <v>1.0</v>
      </c>
      <c r="F5" s="12" t="s">
        <v>36</v>
      </c>
      <c r="G5" s="4"/>
      <c r="H5" s="4"/>
    </row>
    <row r="6" ht="15.75" customHeight="1">
      <c r="A6" s="14" t="s">
        <v>37</v>
      </c>
      <c r="B6" s="9" t="s">
        <v>38</v>
      </c>
      <c r="C6" s="29" t="s">
        <v>29</v>
      </c>
      <c r="D6" s="31">
        <v>0.25</v>
      </c>
      <c r="E6" s="9">
        <v>9.0</v>
      </c>
      <c r="F6" s="12" t="s">
        <v>39</v>
      </c>
      <c r="G6" s="4"/>
      <c r="H6" s="4"/>
    </row>
    <row r="7" ht="15.75" customHeight="1">
      <c r="A7" s="32"/>
      <c r="B7" s="33"/>
      <c r="C7" s="34" t="s">
        <v>19</v>
      </c>
      <c r="D7" s="35">
        <f>SUM(D3:D6)</f>
        <v>1</v>
      </c>
      <c r="E7" s="36">
        <f t="shared" ref="E7:F7" si="1">SUM((E3*$D$3)+(E4*$D$4)+(E5*$D$5)+(E6*$D$6))/10</f>
        <v>0.665</v>
      </c>
      <c r="F7" s="36">
        <f t="shared" si="1"/>
        <v>0.7</v>
      </c>
      <c r="G7" s="4"/>
      <c r="H7" s="4"/>
    </row>
    <row r="8" ht="15.75" customHeight="1">
      <c r="A8" s="4"/>
      <c r="B8" s="4"/>
      <c r="C8" s="4"/>
      <c r="D8" s="21"/>
      <c r="E8" s="4"/>
      <c r="F8" s="4"/>
      <c r="G8" s="4"/>
      <c r="H8" s="4"/>
    </row>
    <row r="9" ht="15.75" customHeight="1"/>
    <row r="10" ht="15.75" customHeight="1">
      <c r="A10" s="22" t="s">
        <v>20</v>
      </c>
      <c r="D10" s="24" t="s">
        <v>40</v>
      </c>
    </row>
    <row r="11" ht="15.75" customHeight="1"/>
    <row r="12" ht="15.75" customHeight="1"/>
    <row r="13" ht="15.75" customHeight="1"/>
    <row r="14" ht="15.75" customHeight="1"/>
    <row r="15" ht="15.75" customHeight="1"/>
    <row r="16" ht="15.75" customHeight="1"/>
    <row r="17" ht="15.75" customHeight="1"/>
    <row r="18" ht="15.75" customHeight="1">
      <c r="A18" s="23"/>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10:C1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7.75"/>
    <col customWidth="1" min="5" max="5" width="24.25"/>
    <col customWidth="1" min="6" max="6" width="26.13"/>
    <col customWidth="1" min="7" max="7" width="19.75"/>
  </cols>
  <sheetData>
    <row r="1" ht="15.75" customHeight="1">
      <c r="A1" s="1" t="s">
        <v>41</v>
      </c>
      <c r="B1" s="2"/>
      <c r="C1" s="2"/>
      <c r="D1" s="2"/>
      <c r="E1" s="2"/>
      <c r="F1" s="2"/>
      <c r="G1" s="3"/>
      <c r="H1" s="4"/>
      <c r="I1" s="4"/>
      <c r="J1" s="4"/>
    </row>
    <row r="2" ht="15.75" customHeight="1">
      <c r="A2" s="25" t="s">
        <v>42</v>
      </c>
      <c r="B2" s="26" t="s">
        <v>43</v>
      </c>
      <c r="C2" s="26" t="s">
        <v>44</v>
      </c>
      <c r="D2" s="26" t="s">
        <v>45</v>
      </c>
      <c r="E2" s="37" t="s">
        <v>46</v>
      </c>
      <c r="F2" s="37" t="s">
        <v>47</v>
      </c>
      <c r="G2" s="37" t="s">
        <v>48</v>
      </c>
      <c r="H2" s="4"/>
      <c r="I2" s="28"/>
    </row>
    <row r="3" ht="15.75" customHeight="1">
      <c r="A3" s="8" t="s">
        <v>49</v>
      </c>
      <c r="B3" s="9" t="s">
        <v>50</v>
      </c>
      <c r="C3" s="29" t="s">
        <v>29</v>
      </c>
      <c r="D3" s="13">
        <v>0.25</v>
      </c>
      <c r="E3" s="38">
        <v>8.0</v>
      </c>
      <c r="F3" s="39" t="s">
        <v>16</v>
      </c>
      <c r="G3" s="38">
        <v>8.0</v>
      </c>
      <c r="H3" s="4"/>
      <c r="I3" s="4"/>
      <c r="J3" s="4"/>
    </row>
    <row r="4" ht="15.75" customHeight="1">
      <c r="A4" s="8" t="s">
        <v>51</v>
      </c>
      <c r="B4" s="9" t="s">
        <v>52</v>
      </c>
      <c r="C4" s="29" t="s">
        <v>29</v>
      </c>
      <c r="D4" s="11">
        <v>0.35</v>
      </c>
      <c r="E4" s="38">
        <v>7.0</v>
      </c>
      <c r="F4" s="39" t="s">
        <v>16</v>
      </c>
      <c r="G4" s="38">
        <v>7.0</v>
      </c>
      <c r="H4" s="4"/>
      <c r="I4" s="4"/>
      <c r="J4" s="4"/>
    </row>
    <row r="5" ht="15.75" customHeight="1">
      <c r="A5" s="8" t="s">
        <v>27</v>
      </c>
      <c r="B5" s="9" t="s">
        <v>53</v>
      </c>
      <c r="C5" s="29" t="s">
        <v>29</v>
      </c>
      <c r="D5" s="11">
        <v>0.2</v>
      </c>
      <c r="E5" s="38">
        <v>6.0</v>
      </c>
      <c r="F5" s="39" t="s">
        <v>10</v>
      </c>
      <c r="G5" s="38">
        <v>4.0</v>
      </c>
      <c r="H5" s="4"/>
      <c r="I5" s="4"/>
      <c r="J5" s="4"/>
    </row>
    <row r="6" ht="15.75" customHeight="1">
      <c r="A6" s="8" t="s">
        <v>54</v>
      </c>
      <c r="B6" s="9" t="s">
        <v>55</v>
      </c>
      <c r="C6" s="29" t="s">
        <v>29</v>
      </c>
      <c r="D6" s="11">
        <v>0.2</v>
      </c>
      <c r="E6" s="38">
        <v>8.0</v>
      </c>
      <c r="F6" s="39" t="s">
        <v>13</v>
      </c>
      <c r="G6" s="38">
        <v>7.0</v>
      </c>
      <c r="H6" s="4"/>
      <c r="I6" s="4"/>
      <c r="J6" s="4"/>
    </row>
    <row r="7" ht="15.75" customHeight="1">
      <c r="A7" s="40"/>
      <c r="B7" s="41"/>
      <c r="C7" s="18" t="s">
        <v>19</v>
      </c>
      <c r="D7" s="19">
        <f>SUM(D3:D6)</f>
        <v>1</v>
      </c>
      <c r="E7" s="20">
        <f t="shared" ref="E7:G7" si="1">SUM((E3*$D$3)+(E4*$D$4)+(E5*$D$5)+(E6*$D$6))/10</f>
        <v>0.725</v>
      </c>
      <c r="F7" s="20">
        <f t="shared" si="1"/>
        <v>0.78</v>
      </c>
      <c r="G7" s="20">
        <f t="shared" si="1"/>
        <v>0.665</v>
      </c>
      <c r="H7" s="4"/>
      <c r="I7" s="4"/>
      <c r="J7" s="4"/>
    </row>
    <row r="8" ht="15.75" customHeight="1">
      <c r="A8" s="4"/>
      <c r="B8" s="4"/>
      <c r="C8" s="4"/>
      <c r="D8" s="21" t="s">
        <v>56</v>
      </c>
      <c r="E8" s="4"/>
      <c r="F8" s="4"/>
      <c r="G8" s="4"/>
      <c r="H8" s="4"/>
      <c r="I8" s="4"/>
      <c r="J8" s="4"/>
    </row>
    <row r="9" ht="15.75" customHeight="1"/>
    <row r="10" ht="15.75" customHeight="1">
      <c r="A10" s="22" t="s">
        <v>20</v>
      </c>
    </row>
    <row r="11" ht="15.75" customHeight="1"/>
    <row r="12" ht="15.75" customHeight="1"/>
    <row r="13" ht="15.75" customHeight="1"/>
    <row r="14" ht="15.75" customHeight="1"/>
    <row r="15" ht="15.75" customHeight="1"/>
    <row r="16" ht="15.75" customHeight="1"/>
    <row r="17" ht="15.75" customHeight="1"/>
    <row r="18" ht="15.75" customHeight="1">
      <c r="A18" s="23"/>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I2:J2"/>
    <mergeCell ref="A10:C1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7.75"/>
    <col customWidth="1" min="5" max="6" width="12.63"/>
  </cols>
  <sheetData>
    <row r="1" ht="15.75" customHeight="1">
      <c r="A1" s="1" t="s">
        <v>57</v>
      </c>
      <c r="B1" s="2"/>
      <c r="C1" s="2"/>
      <c r="D1" s="2"/>
      <c r="E1" s="2"/>
      <c r="F1" s="2"/>
      <c r="G1" s="3"/>
      <c r="H1" s="4"/>
      <c r="I1" s="4"/>
      <c r="J1" s="4"/>
    </row>
    <row r="2" ht="15.75" customHeight="1">
      <c r="A2" s="25" t="s">
        <v>58</v>
      </c>
      <c r="B2" s="26" t="s">
        <v>43</v>
      </c>
      <c r="C2" s="26" t="s">
        <v>44</v>
      </c>
      <c r="D2" s="26" t="s">
        <v>45</v>
      </c>
      <c r="E2" s="37" t="s">
        <v>59</v>
      </c>
      <c r="F2" s="37" t="s">
        <v>60</v>
      </c>
      <c r="G2" s="37" t="s">
        <v>61</v>
      </c>
      <c r="H2" s="4"/>
      <c r="I2" s="42"/>
    </row>
    <row r="3" ht="15.75" customHeight="1">
      <c r="A3" s="14" t="s">
        <v>37</v>
      </c>
      <c r="B3" s="9" t="s">
        <v>62</v>
      </c>
      <c r="C3" s="29" t="s">
        <v>29</v>
      </c>
      <c r="D3" s="30">
        <v>0.35</v>
      </c>
      <c r="E3" s="9">
        <v>7.0</v>
      </c>
      <c r="F3" s="12" t="s">
        <v>16</v>
      </c>
      <c r="G3" s="9">
        <v>7.0</v>
      </c>
      <c r="H3" s="4"/>
      <c r="I3" s="4"/>
      <c r="J3" s="4"/>
    </row>
    <row r="4" ht="15.75" customHeight="1">
      <c r="A4" s="14" t="s">
        <v>63</v>
      </c>
      <c r="B4" s="9" t="s">
        <v>64</v>
      </c>
      <c r="C4" s="29" t="s">
        <v>29</v>
      </c>
      <c r="D4" s="31">
        <v>0.25</v>
      </c>
      <c r="E4" s="9">
        <v>7.0</v>
      </c>
      <c r="F4" s="12" t="s">
        <v>39</v>
      </c>
      <c r="G4" s="9">
        <v>7.0</v>
      </c>
      <c r="H4" s="4"/>
      <c r="I4" s="4"/>
      <c r="J4" s="4"/>
    </row>
    <row r="5" ht="15.75" customHeight="1">
      <c r="A5" s="14" t="s">
        <v>65</v>
      </c>
      <c r="B5" s="9" t="s">
        <v>66</v>
      </c>
      <c r="C5" s="29" t="s">
        <v>29</v>
      </c>
      <c r="D5" s="30">
        <v>0.2</v>
      </c>
      <c r="E5" s="9">
        <v>8.0</v>
      </c>
      <c r="F5" s="12" t="s">
        <v>13</v>
      </c>
      <c r="G5" s="9">
        <v>6.0</v>
      </c>
      <c r="H5" s="4"/>
      <c r="I5" s="4"/>
      <c r="J5" s="4"/>
    </row>
    <row r="6" ht="15.75" customHeight="1">
      <c r="A6" s="14" t="s">
        <v>67</v>
      </c>
      <c r="B6" s="9" t="s">
        <v>68</v>
      </c>
      <c r="C6" s="29" t="s">
        <v>29</v>
      </c>
      <c r="D6" s="30">
        <v>0.2</v>
      </c>
      <c r="E6" s="9">
        <v>7.0</v>
      </c>
      <c r="F6" s="12" t="s">
        <v>10</v>
      </c>
      <c r="G6" s="9">
        <v>8.0</v>
      </c>
      <c r="H6" s="4"/>
      <c r="I6" s="4"/>
      <c r="J6" s="4"/>
    </row>
    <row r="7" ht="15.75" customHeight="1">
      <c r="A7" s="32"/>
      <c r="B7" s="33"/>
      <c r="C7" s="34" t="s">
        <v>19</v>
      </c>
      <c r="D7" s="35">
        <f>SUM(D3:D6)</f>
        <v>1</v>
      </c>
      <c r="E7" s="36">
        <f t="shared" ref="E7:G7" si="1">SUM((E3*$D$3)+(E4*$D$4)+(E5*$D$5)+(E6*$D$6))/10</f>
        <v>0.72</v>
      </c>
      <c r="F7" s="36">
        <f t="shared" si="1"/>
        <v>0.705</v>
      </c>
      <c r="G7" s="36">
        <f t="shared" si="1"/>
        <v>0.7</v>
      </c>
      <c r="H7" s="4"/>
      <c r="I7" s="4"/>
      <c r="J7" s="4"/>
    </row>
    <row r="8" ht="15.75" customHeight="1">
      <c r="A8" s="4"/>
      <c r="B8" s="4"/>
      <c r="C8" s="4"/>
      <c r="D8" s="21" t="s">
        <v>56</v>
      </c>
      <c r="E8" s="4"/>
      <c r="F8" s="4"/>
      <c r="G8" s="4"/>
      <c r="H8" s="4"/>
      <c r="I8" s="4"/>
      <c r="J8" s="4"/>
    </row>
    <row r="9" ht="15.75" customHeight="1"/>
    <row r="10" ht="15.75" customHeight="1">
      <c r="A10" s="22" t="s">
        <v>20</v>
      </c>
    </row>
    <row r="11" ht="15.75" customHeight="1"/>
    <row r="12" ht="15.75" customHeight="1"/>
    <row r="13" ht="15.75" customHeight="1"/>
    <row r="14" ht="15.75" customHeight="1"/>
    <row r="15" ht="15.75" customHeight="1"/>
    <row r="16" ht="15.75" customHeight="1"/>
    <row r="17" ht="15.75" customHeight="1"/>
    <row r="18" ht="15.75" customHeight="1">
      <c r="A18" s="23" t="s">
        <v>21</v>
      </c>
    </row>
    <row r="19" ht="15.75" customHeight="1">
      <c r="A19" s="24" t="s">
        <v>22</v>
      </c>
    </row>
    <row r="20" ht="15.75" customHeight="1">
      <c r="A20" s="24"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I2:J2"/>
    <mergeCell ref="A10:C1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7.75"/>
    <col customWidth="1" min="5" max="5" width="17.38"/>
    <col customWidth="1" min="6" max="6" width="15.0"/>
    <col customWidth="1" min="7" max="7" width="20.13"/>
  </cols>
  <sheetData>
    <row r="1" ht="15.75" customHeight="1">
      <c r="A1" s="1" t="s">
        <v>69</v>
      </c>
      <c r="B1" s="2"/>
      <c r="C1" s="2"/>
      <c r="D1" s="2"/>
      <c r="E1" s="2"/>
      <c r="F1" s="2"/>
      <c r="G1" s="3"/>
      <c r="H1" s="4"/>
      <c r="I1" s="4"/>
      <c r="J1" s="4"/>
    </row>
    <row r="2">
      <c r="A2" s="25" t="s">
        <v>1</v>
      </c>
      <c r="B2" s="26" t="s">
        <v>2</v>
      </c>
      <c r="C2" s="26" t="s">
        <v>3</v>
      </c>
      <c r="D2" s="26" t="s">
        <v>4</v>
      </c>
      <c r="E2" s="27" t="s">
        <v>70</v>
      </c>
      <c r="F2" s="27" t="s">
        <v>71</v>
      </c>
      <c r="G2" s="27" t="s">
        <v>72</v>
      </c>
      <c r="H2" s="4"/>
      <c r="I2" s="28"/>
    </row>
    <row r="3" ht="15.75" customHeight="1">
      <c r="A3" s="14" t="s">
        <v>31</v>
      </c>
      <c r="B3" s="9" t="s">
        <v>73</v>
      </c>
      <c r="C3" s="29" t="s">
        <v>29</v>
      </c>
      <c r="D3" s="31">
        <v>0.25</v>
      </c>
      <c r="E3" s="9">
        <v>5.0</v>
      </c>
      <c r="F3" s="12" t="s">
        <v>74</v>
      </c>
      <c r="G3" s="9">
        <v>4.0</v>
      </c>
      <c r="H3" s="4"/>
      <c r="I3" s="4"/>
      <c r="J3" s="4"/>
    </row>
    <row r="4" ht="15.75" customHeight="1">
      <c r="A4" s="14" t="s">
        <v>27</v>
      </c>
      <c r="B4" s="9" t="s">
        <v>75</v>
      </c>
      <c r="C4" s="29" t="s">
        <v>29</v>
      </c>
      <c r="D4" s="31">
        <v>0.25</v>
      </c>
      <c r="E4" s="9">
        <v>5.0</v>
      </c>
      <c r="F4" s="12" t="s">
        <v>76</v>
      </c>
      <c r="G4" s="9">
        <v>4.0</v>
      </c>
      <c r="H4" s="4"/>
      <c r="I4" s="4"/>
      <c r="J4" s="4"/>
    </row>
    <row r="5" ht="15.75" customHeight="1">
      <c r="A5" s="14" t="s">
        <v>77</v>
      </c>
      <c r="B5" s="9" t="s">
        <v>78</v>
      </c>
      <c r="C5" s="29" t="s">
        <v>29</v>
      </c>
      <c r="D5" s="31">
        <v>0.25</v>
      </c>
      <c r="E5" s="9">
        <v>4.0</v>
      </c>
      <c r="F5" s="12" t="s">
        <v>10</v>
      </c>
      <c r="G5" s="9">
        <v>4.0</v>
      </c>
      <c r="H5" s="4"/>
      <c r="I5" s="4"/>
      <c r="J5" s="4"/>
    </row>
    <row r="6" ht="15.75" customHeight="1">
      <c r="A6" s="14" t="s">
        <v>79</v>
      </c>
      <c r="B6" s="9" t="s">
        <v>80</v>
      </c>
      <c r="C6" s="29" t="s">
        <v>29</v>
      </c>
      <c r="D6" s="31">
        <v>0.25</v>
      </c>
      <c r="E6" s="9">
        <v>5.0</v>
      </c>
      <c r="F6" s="12" t="s">
        <v>81</v>
      </c>
      <c r="G6" s="9">
        <v>2.0</v>
      </c>
      <c r="H6" s="4"/>
      <c r="I6" s="4"/>
      <c r="J6" s="4"/>
    </row>
    <row r="7" ht="15.75" customHeight="1">
      <c r="A7" s="32"/>
      <c r="B7" s="33"/>
      <c r="C7" s="34" t="s">
        <v>19</v>
      </c>
      <c r="D7" s="35">
        <f>SUM(D3:D6)</f>
        <v>1</v>
      </c>
      <c r="E7" s="36">
        <f t="shared" ref="E7:G7" si="1">SUM((E3*$D$3)+(E4*$D$4)+(E5*$D$5)+(E6*$D$6))/10</f>
        <v>0.475</v>
      </c>
      <c r="F7" s="36">
        <f t="shared" si="1"/>
        <v>0.35</v>
      </c>
      <c r="G7" s="36">
        <f t="shared" si="1"/>
        <v>0.35</v>
      </c>
      <c r="H7" s="4"/>
      <c r="I7" s="4"/>
      <c r="J7" s="4"/>
    </row>
    <row r="8" ht="15.75" customHeight="1">
      <c r="A8" s="4"/>
      <c r="B8" s="4"/>
      <c r="C8" s="4"/>
      <c r="D8" s="21"/>
      <c r="E8" s="4"/>
      <c r="F8" s="4"/>
      <c r="G8" s="4"/>
      <c r="H8" s="4"/>
      <c r="I8" s="4"/>
      <c r="J8" s="4"/>
    </row>
    <row r="9" ht="15.75" customHeight="1"/>
    <row r="10" ht="15.75" customHeight="1">
      <c r="A10" s="22" t="s">
        <v>20</v>
      </c>
    </row>
    <row r="11" ht="15.75" customHeight="1"/>
    <row r="12" ht="15.75" customHeight="1"/>
    <row r="13" ht="15.75" customHeight="1"/>
    <row r="14" ht="15.75" customHeight="1"/>
    <row r="15" ht="15.75" customHeight="1"/>
    <row r="16" ht="15.75" customHeight="1"/>
    <row r="17" ht="15.75" customHeight="1"/>
    <row r="18" ht="15.75" customHeight="1">
      <c r="A18" s="23" t="s">
        <v>21</v>
      </c>
    </row>
    <row r="19" ht="15.75" customHeight="1">
      <c r="A19" s="24" t="s">
        <v>22</v>
      </c>
    </row>
    <row r="20" ht="15.75" customHeight="1">
      <c r="A20" s="24"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I2:J2"/>
    <mergeCell ref="A10:C1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6.63"/>
    <col customWidth="1" min="5" max="6" width="12.63"/>
    <col customWidth="1" min="8" max="8" width="13.25"/>
  </cols>
  <sheetData>
    <row r="1" ht="15.75" customHeight="1">
      <c r="A1" s="43" t="s">
        <v>82</v>
      </c>
      <c r="B1" s="2"/>
      <c r="C1" s="2"/>
      <c r="D1" s="2"/>
      <c r="E1" s="2"/>
      <c r="F1" s="2"/>
      <c r="G1" s="3"/>
      <c r="H1" s="4"/>
      <c r="I1" s="4"/>
      <c r="J1" s="4"/>
    </row>
    <row r="2" ht="15.75" customHeight="1">
      <c r="A2" s="44" t="s">
        <v>42</v>
      </c>
      <c r="B2" s="45" t="s">
        <v>43</v>
      </c>
      <c r="C2" s="45" t="s">
        <v>44</v>
      </c>
      <c r="D2" s="45" t="s">
        <v>45</v>
      </c>
      <c r="E2" s="46" t="s">
        <v>83</v>
      </c>
      <c r="F2" s="46" t="s">
        <v>84</v>
      </c>
      <c r="G2" s="46" t="s">
        <v>85</v>
      </c>
      <c r="H2" s="47"/>
      <c r="I2" s="28"/>
      <c r="J2" s="28"/>
    </row>
    <row r="3" ht="15.75" customHeight="1">
      <c r="A3" s="32" t="s">
        <v>4</v>
      </c>
      <c r="B3" s="33" t="s">
        <v>86</v>
      </c>
      <c r="C3" s="29" t="s">
        <v>29</v>
      </c>
      <c r="D3" s="31">
        <v>0.225</v>
      </c>
      <c r="E3" s="33">
        <v>7.0</v>
      </c>
      <c r="F3" s="48" t="s">
        <v>10</v>
      </c>
      <c r="G3" s="33">
        <v>9.0</v>
      </c>
      <c r="H3" s="49" t="s">
        <v>87</v>
      </c>
      <c r="I3" s="4"/>
      <c r="J3" s="4"/>
    </row>
    <row r="4" ht="15.75" customHeight="1">
      <c r="A4" s="32" t="s">
        <v>88</v>
      </c>
      <c r="B4" s="33" t="s">
        <v>89</v>
      </c>
      <c r="C4" s="29" t="s">
        <v>29</v>
      </c>
      <c r="D4" s="31">
        <v>0.22</v>
      </c>
      <c r="E4" s="33">
        <v>6.0</v>
      </c>
      <c r="F4" s="48" t="s">
        <v>16</v>
      </c>
      <c r="G4" s="33">
        <v>8.0</v>
      </c>
      <c r="H4" s="4"/>
      <c r="I4" s="4"/>
      <c r="J4" s="4"/>
    </row>
    <row r="5" ht="15.75" customHeight="1">
      <c r="A5" s="32" t="s">
        <v>90</v>
      </c>
      <c r="B5" s="50" t="s">
        <v>91</v>
      </c>
      <c r="C5" s="29" t="s">
        <v>29</v>
      </c>
      <c r="D5" s="31">
        <v>0.25</v>
      </c>
      <c r="E5" s="33">
        <v>9.0</v>
      </c>
      <c r="F5" s="48" t="s">
        <v>13</v>
      </c>
      <c r="G5" s="33">
        <v>8.0</v>
      </c>
      <c r="H5" s="4"/>
      <c r="I5" s="4"/>
      <c r="J5" s="4"/>
    </row>
    <row r="6" ht="15.75" customHeight="1">
      <c r="A6" s="32" t="s">
        <v>92</v>
      </c>
      <c r="B6" s="33" t="s">
        <v>93</v>
      </c>
      <c r="C6" s="29" t="s">
        <v>29</v>
      </c>
      <c r="D6" s="31">
        <v>0.2</v>
      </c>
      <c r="E6" s="33">
        <v>7.0</v>
      </c>
      <c r="F6" s="48" t="s">
        <v>16</v>
      </c>
      <c r="G6" s="33">
        <v>8.0</v>
      </c>
      <c r="H6" s="4"/>
      <c r="I6" s="4"/>
      <c r="J6" s="4"/>
    </row>
    <row r="7" ht="15.75" customHeight="1">
      <c r="A7" s="32" t="s">
        <v>31</v>
      </c>
      <c r="B7" s="33" t="s">
        <v>94</v>
      </c>
      <c r="C7" s="29" t="s">
        <v>29</v>
      </c>
      <c r="D7" s="31">
        <v>0.1</v>
      </c>
      <c r="E7" s="33">
        <v>8.0</v>
      </c>
      <c r="F7" s="48" t="s">
        <v>39</v>
      </c>
      <c r="G7" s="33">
        <v>7.0</v>
      </c>
      <c r="H7" s="4"/>
      <c r="I7" s="4"/>
      <c r="J7" s="4"/>
    </row>
    <row r="8" ht="15.75" customHeight="1">
      <c r="A8" s="32"/>
      <c r="B8" s="33"/>
      <c r="C8" s="34" t="s">
        <v>19</v>
      </c>
      <c r="D8" s="35">
        <f>SUM(D3:D7)</f>
        <v>0.995</v>
      </c>
      <c r="E8" s="51">
        <f t="shared" ref="E8:G8" si="1">SUM((E3*$D$3)+(E4*$D$4)+(E5*$D$5)+(E6*$D$6)+(E7*$D$7))/10</f>
        <v>0.7345</v>
      </c>
      <c r="F8" s="52">
        <f t="shared" si="1"/>
        <v>0.7255</v>
      </c>
      <c r="G8" s="36">
        <f t="shared" si="1"/>
        <v>0.8085</v>
      </c>
      <c r="H8" s="4"/>
      <c r="I8" s="4"/>
      <c r="J8" s="4"/>
    </row>
    <row r="9" ht="15.75" customHeight="1"/>
    <row r="10" ht="15.75" customHeight="1">
      <c r="A10" s="22"/>
      <c r="B10" s="22"/>
      <c r="C10" s="22"/>
    </row>
    <row r="11" ht="15.75" customHeight="1">
      <c r="A11" s="22"/>
      <c r="B11" s="22"/>
      <c r="C11" s="22"/>
    </row>
    <row r="12" ht="15.75" customHeight="1">
      <c r="A12" s="22"/>
      <c r="B12" s="22"/>
      <c r="C12" s="22"/>
    </row>
    <row r="13" ht="15.75" customHeight="1">
      <c r="A13" s="22"/>
      <c r="B13" s="22"/>
      <c r="C13" s="22"/>
    </row>
    <row r="14" ht="15.75" customHeight="1">
      <c r="A14" s="22"/>
      <c r="B14" s="22"/>
      <c r="C14" s="22"/>
    </row>
    <row r="15" ht="15.75" customHeight="1">
      <c r="A15" s="22"/>
      <c r="B15" s="22"/>
      <c r="C15" s="22"/>
    </row>
    <row r="16" ht="15.75" customHeight="1">
      <c r="A16" s="22"/>
      <c r="B16" s="22"/>
      <c r="C16" s="22"/>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drawing r:id="rId1"/>
</worksheet>
</file>