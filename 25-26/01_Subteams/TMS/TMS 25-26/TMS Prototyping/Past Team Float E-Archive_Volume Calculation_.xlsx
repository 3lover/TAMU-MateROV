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<sst xmlns="http://schemas.openxmlformats.org/spreadsheetml/2006/main" count="28" uniqueCount="23">
  <si>
    <t>MIA</t>
  </si>
  <si>
    <t>Weight (g)</t>
  </si>
  <si>
    <t>Volume (mm^3)</t>
  </si>
  <si>
    <t>Sources</t>
  </si>
  <si>
    <t>Regulator 5VDC</t>
  </si>
  <si>
    <t>https://www.pololu.com/product/2891?</t>
  </si>
  <si>
    <t>ESP - WROOM -32 Microcontroller</t>
  </si>
  <si>
    <t>https://randomnerdtutorials.com/esp32-load-cell-hx711/#:~:text=The%20known%20weight%20is%20300g%2C%20so%20our%20calibration,your%20calibration%20factor%20because%20you%E2%80%99ll%20need%20it%20later.</t>
  </si>
  <si>
    <t>BMP280</t>
  </si>
  <si>
    <t>https://www.bing.com/ck/a?!&amp;&amp;p=9eac99f785cc67e2912bcdac2205b58b0a188316e8e8821ecab858223d640f5bJmltdHM9MTc2MjEyODAwMA&amp;ptn=3&amp;ver=2&amp;hsh=4&amp;fclid=2130b866-64d6-6ebe-3779-acd565276f50&amp;psq=BMP280+weight&amp;u=a1aHR0cHM6Ly93d3cuYm9zY2gtc2Vuc29ydGVjLmNvbS9tZWRpYS9ib3NjaHNlbnNvcnRlYy9kb3dubG9hZHMvZGF0YXNoZWV0cy9ic3QtYm1wMjgwLWRzMDAxLnBkZg</t>
  </si>
  <si>
    <t>NRF 240101 Wireless Transcievers</t>
  </si>
  <si>
    <t>https://www.smart-prototyping.com/nRF24L01-2_4GHz-Wireless-Module-1km</t>
  </si>
  <si>
    <t>Fuse</t>
  </si>
  <si>
    <t>https://www.beachaudio.com/littelfuse-fhm1bp-mini-fuse-holder/?srsltid=AfmBOooAaDN38CoT9_50COOO939z7IVsxR9x89S13r9Hu_usdtR2EMBg&amp;utm_source=chatgpt.com</t>
  </si>
  <si>
    <t>Batteries 12VDC (10x Ni-MHAA2500mAh)</t>
  </si>
  <si>
    <t>https://www.bing.com/ck/a?!&amp;&amp;p=7f249cb51648c1225ffefcd95e208c51e550815e686de3151ae5871ad839c557JmltdHM9MTc2MjEyODAwMA&amp;ptn=3&amp;ver=2&amp;hsh=4&amp;fclid=2130b866-64d6-6ebe-3779-acd565276f50&amp;psq=weight+of+Ni-MH+AA+cell+mass&amp;u=a1aHR0cHM6Ly9lbi53aWtpcGVkaWEub3JnL3dpa2kvQUFfYmF0dGVyeQ</t>
  </si>
  <si>
    <t>Cumulative Weight</t>
  </si>
  <si>
    <t>1.6″ × 0.6″ × 0.18</t>
  </si>
  <si>
    <t>Source for Microcontroller</t>
  </si>
  <si>
    <t>https://www.waveshare.com/img/devkit/ESP32-S3-DEV-KIT-N8R8/ESP32-S3-DEV-KIT-N8R8-details-size.jpg</t>
  </si>
  <si>
    <t>40.6 × 15.2 × 4.6 mm</t>
  </si>
  <si>
    <t>30.3 x 14.5mm</t>
  </si>
  <si>
    <t>3.35 x 2.49 x 1.05 inches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</si>
</sst>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0" numFmtId="0" xfId="0" applyFont="1"/>
    <xf borderId="0" fillId="0" fontId="4" numFmtId="0" xfId="0" applyAlignment="1" applyFont="1">
      <alignment readingOrder="0"/>
    </xf>
    <xf borderId="0" fillId="2" fontId="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lolu.com/product/2891?" TargetMode="External"/><Relationship Id="rId2" Type="http://schemas.openxmlformats.org/officeDocument/2006/relationships/hyperlink" Target="https://www.bing.com/ck/a?!&amp;&amp;p=1dbfc2f5936cc43aad68bdb5a46b81b4d85cbbaf3b030ef5cd50a1dfdef64bd4JmltdHM9MTc2MjEyODAwMA&amp;ptn=3&amp;ver=2&amp;hsh=4&amp;fclid=2130b866-64d6-6ebe-3779-acd565276f50&amp;psq=ESP+-+WROOM+-32+Microcontroller+weight&amp;u=a1aHR0cHM6Ly9yYW5kb21uZXJkdHV0b3JpYWxzLmNvbS9lc3AzMi1sb2FkLWNlbGwtaHg3MTEvIzp-OnRleHQ9VGhlJTIwa25vd24lMjB3ZWlnaHQlMjBpcyUyMDMwMGclMkMlMjBzbyUyMG91ciUyMGNhbGlicmF0aW9uLHlvdXIlMjBjYWxpYnJhdGlvbiUyMGZhY3RvciUyMGJlY2F1c2UlMjB5b3UlRTIlODAlOTlsbCUyMG5lZWQlMjBpdCUyMGxhdGVyLg" TargetMode="External"/><Relationship Id="rId3" Type="http://schemas.openxmlformats.org/officeDocument/2006/relationships/hyperlink" Target="https://www.bing.com/ck/a?!&amp;&amp;p=9eac99f785cc67e2912bcdac2205b58b0a188316e8e8821ecab858223d640f5bJmltdHM9MTc2MjEyODAwMA&amp;ptn=3&amp;ver=2&amp;hsh=4&amp;fclid=2130b866-64d6-6ebe-3779-acd565276f50&amp;psq=BMP280+weight&amp;u=a1aHR0cHM6Ly93d3cuYm9zY2gtc2Vuc29ydGVjLmNvbS9tZWRpYS9ib3NjaHNlbnNvcnRlYy9kb3dubG9hZHMvZGF0YXNoZWV0cy9ic3QtYm1wMjgwLWRzMDAxLnBkZg" TargetMode="External"/><Relationship Id="rId4" Type="http://schemas.openxmlformats.org/officeDocument/2006/relationships/hyperlink" Target="https://www.smart-prototyping.com/nRF24L01-2_4GHz-Wireless-Module-1km?utm_source=chatgpt.com" TargetMode="External"/><Relationship Id="rId5" Type="http://schemas.openxmlformats.org/officeDocument/2006/relationships/hyperlink" Target="https://www.beachaudio.com/littelfuse-fhm1bp-mini-fuse-holder/?srsltid=AfmBOooAaDN38CoT9_50COOO939z7IVsxR9x89S13r9Hu_usdtR2EMBg&amp;utm_source=chatgpt.com" TargetMode="External"/><Relationship Id="rId6" Type="http://schemas.openxmlformats.org/officeDocument/2006/relationships/hyperlink" Target="https://www.bing.com/ck/a?!&amp;&amp;p=7f249cb51648c1225ffefcd95e208c51e550815e686de3151ae5871ad839c557JmltdHM9MTc2MjEyODAwMA&amp;ptn=3&amp;ver=2&amp;hsh=4&amp;fclid=2130b866-64d6-6ebe-3779-acd565276f50&amp;psq=weight+of+Ni-MH+AA+cell+mass&amp;u=a1aHR0cHM6Ly9lbi53aWtpcGVkaWEub3JnL3dpa2kvQUFfYmF0dGVyeQ" TargetMode="External"/><Relationship Id="rId7" Type="http://schemas.openxmlformats.org/officeDocument/2006/relationships/hyperlink" Target="https://www.waveshare.com/img/devkit/ESP32-S3-DEV-KIT-N8R8/ESP32-S3-DEV-KIT-N8R8-details-size.jp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>
        <v>3.5</v>
      </c>
      <c r="C2" s="1">
        <f> (40.6 * 15.2 * 4.6)</f>
        <v>2838.752</v>
      </c>
      <c r="D2" s="3" t="s">
        <v>5</v>
      </c>
    </row>
    <row r="3">
      <c r="A3" s="4" t="s">
        <v>6</v>
      </c>
      <c r="B3" s="1">
        <v>300.0</v>
      </c>
      <c r="C3" s="5">
        <f> (63.3 * 25.4 * 30)</f>
        <v>48234.6</v>
      </c>
      <c r="D3" s="6" t="s">
        <v>7</v>
      </c>
    </row>
    <row r="4">
      <c r="A4" s="1" t="s">
        <v>8</v>
      </c>
      <c r="B4" s="1">
        <v>1.2</v>
      </c>
      <c r="C4" s="5">
        <f> (2.5* 2 * 0.95)</f>
        <v>4.75</v>
      </c>
      <c r="D4" s="3" t="s">
        <v>9</v>
      </c>
    </row>
    <row r="5">
      <c r="A5" s="4" t="s">
        <v>10</v>
      </c>
      <c r="B5" s="1">
        <v>1.4</v>
      </c>
      <c r="C5" s="7">
        <f>30.3 * 14.5*30</f>
        <v>13180.5</v>
      </c>
      <c r="D5" s="3" t="s">
        <v>11</v>
      </c>
    </row>
    <row r="6">
      <c r="A6" s="1" t="s">
        <v>12</v>
      </c>
      <c r="B6" s="1">
        <v>9.1</v>
      </c>
      <c r="C6" s="5">
        <f> 85*63*27</f>
        <v>144585</v>
      </c>
      <c r="D6" s="3" t="s">
        <v>13</v>
      </c>
    </row>
    <row r="7">
      <c r="A7" s="4" t="s">
        <v>14</v>
      </c>
      <c r="B7" s="1">
        <v>310.0</v>
      </c>
      <c r="C7" s="5">
        <f> 3.14 * (7.25^2) * 50.5</f>
        <v>8334.835625</v>
      </c>
      <c r="D7" s="3" t="s">
        <v>15</v>
      </c>
    </row>
    <row r="8">
      <c r="A8" s="1" t="s">
        <v>16</v>
      </c>
      <c r="B8" s="5">
        <f>sum(B2:B7)</f>
        <v>625.2</v>
      </c>
      <c r="C8" s="5">
        <f> SUM(C2:C7)</f>
        <v>217178.4376</v>
      </c>
    </row>
    <row r="11">
      <c r="A11" s="8" t="s">
        <v>17</v>
      </c>
      <c r="F11" s="1" t="s">
        <v>18</v>
      </c>
    </row>
    <row r="12">
      <c r="A12" s="9"/>
      <c r="F12" s="10" t="s">
        <v>19</v>
      </c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8" t="s">
        <v>20</v>
      </c>
    </row>
    <row r="21">
      <c r="A21" s="9"/>
    </row>
    <row r="22">
      <c r="A22" s="8" t="s">
        <v>20</v>
      </c>
    </row>
    <row r="23">
      <c r="A23" s="8" t="s">
        <v>20</v>
      </c>
    </row>
    <row r="24">
      <c r="A24" s="8" t="s">
        <v>21</v>
      </c>
    </row>
    <row r="25">
      <c r="A25" s="11" t="s">
        <v>22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F1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3</v>
      </c>
    </row>
  </sheetData>
  <drawing r:id="rId1"/>
</worksheet>
</file>