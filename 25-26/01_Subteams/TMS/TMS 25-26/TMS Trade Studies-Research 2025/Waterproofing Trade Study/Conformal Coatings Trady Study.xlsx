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Trade Study" sheetId="2" r:id="rId6"/>
  </sheets>
  <definedNames/>
  <calcPr/>
</workbook>
</file>

<file path=xl/sharedStrings.xml><?xml version="1.0" encoding="utf-8"?>
<sst xmlns="http://schemas.openxmlformats.org/spreadsheetml/2006/main" count="49" uniqueCount="38">
  <si>
    <t>Cooling for Electronics Housing</t>
  </si>
  <si>
    <r>
      <rPr>
        <rFont val="Arial"/>
        <b/>
        <color theme="1"/>
        <sz val="12.0"/>
      </rPr>
      <t xml:space="preserve">Criteria              
</t>
    </r>
    <r>
      <rPr>
        <rFont val="Arial"/>
        <b/>
        <color rgb="FFFF0000"/>
        <sz val="10.0"/>
      </rPr>
      <t>In the column below, List all the important factors relating to the trade study</t>
    </r>
  </si>
  <si>
    <r>
      <rPr>
        <rFont val="Arial"/>
        <b/>
        <color theme="1"/>
        <sz val="12.0"/>
      </rPr>
      <t xml:space="preserve">Explanation               
</t>
    </r>
    <r>
      <rPr>
        <rFont val="Arial"/>
        <b/>
        <color rgb="FFFF0000"/>
        <sz val="10.0"/>
      </rPr>
      <t>This column provides a description for the criteria listed in the column to the left. This should contain a requirement identifier or another explanation of why the criteria is needed.</t>
    </r>
  </si>
  <si>
    <r>
      <rPr>
        <rFont val="Arial"/>
        <b/>
        <color theme="1"/>
        <sz val="12.0"/>
      </rPr>
      <t xml:space="preserve">Grade                        
</t>
    </r>
    <r>
      <rPr>
        <rFont val="Arial"/>
        <b/>
        <color rgb="FFFF0000"/>
        <sz val="10.0"/>
      </rPr>
      <t>Provides metric to standardize (normalize) options being considered.</t>
    </r>
  </si>
  <si>
    <r>
      <rPr>
        <rFont val="Arial"/>
        <b/>
        <color theme="1"/>
        <sz val="12.0"/>
      </rPr>
      <t xml:space="preserve">Weight         
</t>
    </r>
    <r>
      <rPr>
        <rFont val="Arial"/>
        <b/>
        <color rgb="FFFF0000"/>
        <sz val="10.0"/>
      </rPr>
      <t>Ranks the criteria by importantance. Typically on a numeric or percentage scale</t>
    </r>
  </si>
  <si>
    <t>Convection</t>
  </si>
  <si>
    <t>Conduction</t>
  </si>
  <si>
    <t>Phase Change</t>
  </si>
  <si>
    <r>
      <rPr>
        <rFont val="Arial"/>
        <b/>
        <color rgb="FFFF0000"/>
        <sz val="18.0"/>
      </rPr>
      <t xml:space="preserve">Reminder:
</t>
    </r>
    <r>
      <rPr>
        <rFont val="Arial"/>
        <b/>
        <color rgb="FF000000"/>
        <sz val="18.0"/>
      </rPr>
      <t>Remove red text in your final versions</t>
    </r>
  </si>
  <si>
    <t>Reliability</t>
  </si>
  <si>
    <t>Component must not fail. Measured in failure rate (failures per hour). Note, a failure is either a complete breakdown of the system or an inability to stay within spec.</t>
  </si>
  <si>
    <t>10 = high,                            
5 = medium                                              
1 = low                                                 
0 = Fail</t>
  </si>
  <si>
    <t>Effectiveness</t>
  </si>
  <si>
    <t>Component must adequately cool eletrical components. Measured in heat flux (watts/m^2). Note, the grade for this criteria will consider proximity to cooling needs. In other words, a completely overkill solution will be scored less than a satisfactory solution.</t>
  </si>
  <si>
    <t>Compactability</t>
  </si>
  <si>
    <t>Component must consider system size limitations. Measured in volume (m^3)</t>
  </si>
  <si>
    <t>Cost</t>
  </si>
  <si>
    <t>Component must consider budget limitations. Measured in USD ($)</t>
  </si>
  <si>
    <t>TOTALS:</t>
  </si>
  <si>
    <t>^Ensure this totals 100% if you change them</t>
  </si>
  <si>
    <t>When trying to make the best design decisions for your project, trade studies are there to help break down any bias. Based on research and evidence you find, fill in the options and grade them based on the criteria you have set. Whichever option has the highest percentage "wins" the trade study by the criteria and grades you have assigned.</t>
  </si>
  <si>
    <t>Conformal Coatings</t>
  </si>
  <si>
    <t xml:space="preserve">Criteria              
</t>
  </si>
  <si>
    <t xml:space="preserve">Explanation               
</t>
  </si>
  <si>
    <t xml:space="preserve">Grade                        
</t>
  </si>
  <si>
    <t xml:space="preserve">Weight         
</t>
  </si>
  <si>
    <t xml:space="preserve">Epoxy </t>
  </si>
  <si>
    <t>Silicone</t>
  </si>
  <si>
    <t>Polyurethane</t>
  </si>
  <si>
    <t>Condensation Protection</t>
  </si>
  <si>
    <t>Must be able to protect against humidity and condensation inside the enclosure and prevent leakage/corrosion on PCB system</t>
  </si>
  <si>
    <t>10</t>
  </si>
  <si>
    <t>9</t>
  </si>
  <si>
    <t>Don't use these numbers it might be garbage for your use case</t>
  </si>
  <si>
    <t>Flexibility</t>
  </si>
  <si>
    <t>Must be able to handle vibration and repeated thermal cycles without cracking or delamination</t>
  </si>
  <si>
    <t xml:space="preserve">Important to consider for affordable, accessible materials and practical use. </t>
  </si>
  <si>
    <t>7</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</si>
</sst>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8.0"/>
      <color theme="1"/>
      <name val="Arial"/>
    </font>
    <font/>
    <font>
      <color theme="1"/>
      <name val="Arial"/>
    </font>
    <font>
      <b/>
      <sz val="12.0"/>
      <color theme="1"/>
      <name val="Arial"/>
    </font>
    <font>
      <b/>
      <sz val="10.0"/>
      <color theme="1"/>
      <name val="Arial"/>
    </font>
    <font>
      <b/>
      <sz val="18.0"/>
      <color rgb="FFFF0000"/>
      <name val="Arial"/>
    </font>
    <font>
      <color theme="1"/>
      <name val="Roboto"/>
    </font>
    <font>
      <b/>
      <sz val="8.0"/>
      <color theme="1"/>
      <name val="Arial"/>
    </font>
    <font>
      <b/>
      <color theme="1"/>
      <name val="Arial"/>
    </font>
    <font>
      <b/>
      <color rgb="FFFF0000"/>
      <name val="Arial"/>
    </font>
    <font>
      <sz val="13.0"/>
      <color theme="1"/>
      <name val="Arial"/>
    </font>
    <font>
      <b/>
      <sz val="14.0"/>
      <color theme="1"/>
      <name val="Arial"/>
    </font>
    <font>
      <b/>
      <sz val="11.0"/>
      <color theme="1"/>
      <name val="Arial"/>
    </font>
    <font>
      <sz val="12.0"/>
      <color theme="1"/>
      <name val="Arial"/>
    </font>
    <font>
      <sz val="12.0"/>
      <color theme="1"/>
      <name val="FkGroteskNeue"/>
    </font>
  </fonts>
  <fills count="11">
    <fill>
      <patternFill patternType="none"/>
    </fill>
    <fill>
      <patternFill patternType="lightGray"/>
    </fill>
    <fill>
      <patternFill patternType="solid">
        <fgColor rgb="FF999999"/>
        <bgColor rgb="FF999999"/>
      </patternFill>
    </fill>
    <fill>
      <patternFill patternType="solid">
        <fgColor rgb="FFCCCCCC"/>
        <bgColor rgb="FFCCCCCC"/>
      </patternFill>
    </fill>
    <fill>
      <patternFill patternType="solid">
        <fgColor rgb="FFA4C2F4"/>
        <bgColor rgb="FFA4C2F4"/>
      </patternFill>
    </fill>
    <fill>
      <patternFill patternType="solid">
        <fgColor rgb="FFFFFF00"/>
        <bgColor rgb="FFFFFF00"/>
      </patternFill>
    </fill>
    <fill>
      <patternFill patternType="solid">
        <fgColor rgb="FFFFFFFF"/>
        <bgColor rgb="FFFFFFFF"/>
      </patternFill>
    </fill>
    <fill>
      <patternFill patternType="solid">
        <fgColor rgb="FF34A853"/>
        <bgColor rgb="FF34A853"/>
      </patternFill>
    </fill>
    <fill>
      <patternFill patternType="solid">
        <fgColor rgb="FFFF0000"/>
        <bgColor rgb="FFFF0000"/>
      </patternFill>
    </fill>
    <fill>
      <patternFill patternType="solid">
        <fgColor rgb="FFED5D2B"/>
        <bgColor rgb="FFED5D2B"/>
      </patternFill>
    </fill>
    <fill>
      <patternFill patternType="solid">
        <fgColor rgb="FF93C47D"/>
        <bgColor rgb="FF93C47D"/>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readingOrder="0" shrinkToFit="0" wrapText="1"/>
    </xf>
    <xf borderId="5" fillId="3" fontId="4" numFmtId="0" xfId="0" applyAlignment="1" applyBorder="1" applyFont="1">
      <alignment horizontal="center" shrinkToFit="0" wrapText="1"/>
    </xf>
    <xf borderId="5" fillId="4" fontId="4" numFmtId="0" xfId="0" applyAlignment="1" applyBorder="1" applyFill="1" applyFont="1">
      <alignment horizontal="center" readingOrder="0"/>
    </xf>
    <xf borderId="5" fillId="4" fontId="5" numFmtId="0" xfId="0" applyAlignment="1" applyBorder="1" applyFont="1">
      <alignment horizontal="center" readingOrder="0"/>
    </xf>
    <xf borderId="0" fillId="5" fontId="6" numFmtId="0" xfId="0" applyAlignment="1" applyFill="1" applyFont="1">
      <alignment horizontal="center" shrinkToFit="0" wrapText="1"/>
    </xf>
    <xf borderId="4" fillId="0" fontId="3" numFmtId="0" xfId="0" applyAlignment="1" applyBorder="1" applyFont="1">
      <alignment horizontal="center" readingOrder="0"/>
    </xf>
    <xf borderId="5" fillId="0" fontId="3" numFmtId="0" xfId="0" applyAlignment="1" applyBorder="1" applyFont="1">
      <alignment horizontal="center" readingOrder="0" shrinkToFit="0" wrapText="1"/>
    </xf>
    <xf borderId="5" fillId="6" fontId="7" numFmtId="0" xfId="0" applyAlignment="1" applyBorder="1" applyFill="1" applyFont="1">
      <alignment shrinkToFit="0" wrapText="1"/>
    </xf>
    <xf borderId="5" fillId="0" fontId="3" numFmtId="9" xfId="0" applyAlignment="1" applyBorder="1" applyFont="1" applyNumberFormat="1">
      <alignment horizontal="center" readingOrder="0"/>
    </xf>
    <xf borderId="5" fillId="0" fontId="3" numFmtId="0" xfId="0" applyBorder="1" applyFont="1"/>
    <xf borderId="5" fillId="0" fontId="3" numFmtId="49" xfId="0" applyBorder="1" applyFont="1" applyNumberFormat="1"/>
    <xf borderId="4" fillId="0" fontId="3" numFmtId="0" xfId="0" applyBorder="1" applyFont="1"/>
    <xf borderId="6" fillId="0" fontId="8" numFmtId="0" xfId="0" applyAlignment="1" applyBorder="1" applyFont="1">
      <alignment horizontal="center"/>
    </xf>
    <xf borderId="7" fillId="0" fontId="9" numFmtId="9" xfId="0" applyAlignment="1" applyBorder="1" applyFont="1" applyNumberFormat="1">
      <alignment horizontal="center"/>
    </xf>
    <xf borderId="5" fillId="7" fontId="3" numFmtId="10" xfId="0" applyAlignment="1" applyBorder="1" applyFill="1" applyFont="1" applyNumberFormat="1">
      <alignment horizontal="center"/>
    </xf>
    <xf borderId="0" fillId="0" fontId="10" numFmtId="0" xfId="0" applyAlignment="1" applyFont="1">
      <alignment horizontal="center" shrinkToFit="0" wrapText="1"/>
    </xf>
    <xf borderId="0" fillId="0" fontId="11" numFmtId="0" xfId="0" applyAlignment="1" applyFont="1">
      <alignment shrinkToFit="0" vertical="top" wrapText="1"/>
    </xf>
    <xf borderId="7" fillId="3" fontId="4" numFmtId="0" xfId="0" applyAlignment="1" applyBorder="1" applyFont="1">
      <alignment horizontal="center" shrinkToFit="0" wrapText="1"/>
    </xf>
    <xf borderId="3" fillId="3" fontId="4" numFmtId="0" xfId="0" applyAlignment="1" applyBorder="1" applyFont="1">
      <alignment horizontal="center" shrinkToFit="0" wrapText="1"/>
    </xf>
    <xf borderId="3" fillId="4" fontId="12" numFmtId="0" xfId="0" applyAlignment="1" applyBorder="1" applyFont="1">
      <alignment horizontal="center" readingOrder="0"/>
    </xf>
    <xf borderId="3" fillId="4" fontId="13" numFmtId="0" xfId="0" applyAlignment="1" applyBorder="1" applyFont="1">
      <alignment horizontal="center" readingOrder="0"/>
    </xf>
    <xf borderId="3" fillId="4" fontId="12" numFmtId="0" xfId="0" applyAlignment="1" applyBorder="1" applyFont="1">
      <alignment horizontal="center"/>
    </xf>
    <xf borderId="8" fillId="0" fontId="3" numFmtId="0" xfId="0" applyBorder="1" applyFont="1"/>
    <xf borderId="0" fillId="0" fontId="6" numFmtId="0" xfId="0" applyAlignment="1" applyFont="1">
      <alignment horizontal="center" shrinkToFit="0" wrapText="1"/>
    </xf>
    <xf borderId="5" fillId="0" fontId="3" numFmtId="0" xfId="0" applyAlignment="1" applyBorder="1" applyFont="1">
      <alignment horizontal="center" readingOrder="0"/>
    </xf>
    <xf borderId="5" fillId="0" fontId="3" numFmtId="49" xfId="0" applyAlignment="1" applyBorder="1" applyFont="1" applyNumberFormat="1">
      <alignment horizontal="center" readingOrder="0"/>
    </xf>
    <xf borderId="5" fillId="0" fontId="3" numFmtId="0" xfId="0" applyAlignment="1" applyBorder="1" applyFont="1">
      <alignment horizontal="center"/>
    </xf>
    <xf borderId="0" fillId="8" fontId="3" numFmtId="0" xfId="0" applyAlignment="1" applyFill="1" applyFont="1">
      <alignment horizontal="center" shrinkToFit="0" wrapText="1"/>
    </xf>
    <xf borderId="4" fillId="0" fontId="3" numFmtId="0" xfId="0" applyAlignment="1" applyBorder="1" applyFont="1">
      <alignment horizontal="center"/>
    </xf>
    <xf borderId="5" fillId="0" fontId="3" numFmtId="0" xfId="0" applyAlignment="1" applyBorder="1" applyFont="1">
      <alignment readingOrder="0"/>
    </xf>
    <xf borderId="5" fillId="9" fontId="3" numFmtId="10" xfId="0" applyAlignment="1" applyBorder="1" applyFill="1" applyFont="1" applyNumberFormat="1">
      <alignment horizontal="center"/>
    </xf>
    <xf borderId="5" fillId="10" fontId="3" numFmtId="10" xfId="0" applyAlignment="1" applyBorder="1" applyFill="1" applyFont="1" applyNumberFormat="1">
      <alignment horizontal="center"/>
    </xf>
    <xf borderId="5" fillId="0" fontId="3" numFmtId="10" xfId="0" applyAlignment="1" applyBorder="1" applyFont="1" applyNumberFormat="1">
      <alignment horizontal="center"/>
    </xf>
    <xf borderId="0" fillId="0" fontId="14" numFmtId="0" xfId="0" applyAlignment="1" applyFont="1">
      <alignment readingOrder="0"/>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6" width="12.63"/>
  </cols>
  <sheetData>
    <row r="1" ht="15.75" customHeight="1">
      <c r="A1" s="1" t="s">
        <v>0</v>
      </c>
      <c r="B1" s="2"/>
      <c r="C1" s="2"/>
      <c r="D1" s="2"/>
      <c r="E1" s="2"/>
      <c r="F1" s="2"/>
      <c r="G1" s="3"/>
      <c r="H1" s="4"/>
      <c r="I1" s="4"/>
      <c r="J1" s="4"/>
    </row>
    <row r="2" ht="15.75" customHeight="1">
      <c r="A2" s="5" t="s">
        <v>1</v>
      </c>
      <c r="B2" s="6" t="s">
        <v>2</v>
      </c>
      <c r="C2" s="6" t="s">
        <v>3</v>
      </c>
      <c r="D2" s="6" t="s">
        <v>4</v>
      </c>
      <c r="E2" s="7" t="s">
        <v>5</v>
      </c>
      <c r="F2" s="7" t="s">
        <v>6</v>
      </c>
      <c r="G2" s="8" t="s">
        <v>7</v>
      </c>
      <c r="H2" s="4"/>
      <c r="I2" s="9" t="s">
        <v>8</v>
      </c>
    </row>
    <row r="3" ht="15.75" customHeight="1">
      <c r="A3" s="10" t="s">
        <v>9</v>
      </c>
      <c r="B3" s="11" t="s">
        <v>10</v>
      </c>
      <c r="C3" s="12" t="s">
        <v>11</v>
      </c>
      <c r="D3" s="13">
        <v>0.4</v>
      </c>
      <c r="E3" s="14"/>
      <c r="F3" s="15"/>
      <c r="G3" s="14"/>
      <c r="H3" s="4"/>
      <c r="I3" s="4"/>
      <c r="J3" s="4"/>
    </row>
    <row r="4" ht="15.75" customHeight="1">
      <c r="A4" s="10" t="s">
        <v>12</v>
      </c>
      <c r="B4" s="11" t="s">
        <v>13</v>
      </c>
      <c r="C4" s="12" t="s">
        <v>11</v>
      </c>
      <c r="D4" s="13">
        <v>0.3</v>
      </c>
      <c r="E4" s="14"/>
      <c r="F4" s="15"/>
      <c r="G4" s="14"/>
      <c r="H4" s="4"/>
      <c r="I4" s="4"/>
      <c r="J4" s="4"/>
    </row>
    <row r="5" ht="15.75" customHeight="1">
      <c r="A5" s="10" t="s">
        <v>14</v>
      </c>
      <c r="B5" s="11" t="s">
        <v>15</v>
      </c>
      <c r="C5" s="12" t="s">
        <v>11</v>
      </c>
      <c r="D5" s="13">
        <v>0.2</v>
      </c>
      <c r="E5" s="14"/>
      <c r="F5" s="15"/>
      <c r="G5" s="14"/>
      <c r="H5" s="4"/>
      <c r="I5" s="4"/>
      <c r="J5" s="4"/>
    </row>
    <row r="6" ht="15.75" customHeight="1">
      <c r="A6" s="10" t="s">
        <v>16</v>
      </c>
      <c r="B6" s="11" t="s">
        <v>17</v>
      </c>
      <c r="C6" s="12" t="s">
        <v>11</v>
      </c>
      <c r="D6" s="13">
        <v>0.1</v>
      </c>
      <c r="E6" s="14"/>
      <c r="F6" s="15"/>
      <c r="G6" s="14"/>
      <c r="H6" s="4"/>
      <c r="I6" s="4"/>
      <c r="J6" s="4"/>
    </row>
    <row r="7" ht="15.75" customHeight="1">
      <c r="A7" s="16"/>
      <c r="B7" s="14"/>
      <c r="C7" s="17" t="s">
        <v>18</v>
      </c>
      <c r="D7" s="18">
        <f>SUM(D3:D6)</f>
        <v>1</v>
      </c>
      <c r="E7" s="19">
        <f t="shared" ref="E7:G7" si="1">SUM((E3*$D$3)+(E4*$D$4)+(E5*$D$5)+(E6*$D$6))/10</f>
        <v>0</v>
      </c>
      <c r="F7" s="19">
        <f t="shared" si="1"/>
        <v>0</v>
      </c>
      <c r="G7" s="19">
        <f t="shared" si="1"/>
        <v>0</v>
      </c>
      <c r="H7" s="4"/>
      <c r="I7" s="4"/>
      <c r="J7" s="4"/>
    </row>
    <row r="8" ht="15.75" customHeight="1">
      <c r="A8" s="4"/>
      <c r="B8" s="4"/>
      <c r="C8" s="4"/>
      <c r="D8" s="20" t="s">
        <v>19</v>
      </c>
      <c r="E8" s="4"/>
      <c r="F8" s="4"/>
      <c r="G8" s="4"/>
      <c r="H8" s="4"/>
      <c r="I8" s="4"/>
      <c r="J8" s="4"/>
    </row>
    <row r="9" ht="15.75" customHeight="1"/>
    <row r="10" ht="15.75" customHeight="1">
      <c r="A10" s="21" t="s">
        <v>20</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I2:J2"/>
    <mergeCell ref="A10:C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6.63"/>
    <col customWidth="1" min="5" max="8" width="12.63"/>
    <col customWidth="1" min="10" max="10" width="13.25"/>
  </cols>
  <sheetData>
    <row r="1" ht="15.75" customHeight="1">
      <c r="A1" s="1" t="s">
        <v>21</v>
      </c>
      <c r="B1" s="2"/>
      <c r="C1" s="2"/>
      <c r="D1" s="2"/>
      <c r="E1" s="2"/>
      <c r="F1" s="2"/>
      <c r="G1" s="2"/>
      <c r="H1" s="2"/>
      <c r="I1" s="3"/>
      <c r="J1" s="4"/>
      <c r="K1" s="4"/>
      <c r="L1" s="4"/>
    </row>
    <row r="2" ht="15.75" customHeight="1">
      <c r="A2" s="22" t="s">
        <v>22</v>
      </c>
      <c r="B2" s="23" t="s">
        <v>23</v>
      </c>
      <c r="C2" s="23" t="s">
        <v>24</v>
      </c>
      <c r="D2" s="23" t="s">
        <v>25</v>
      </c>
      <c r="E2" s="24" t="s">
        <v>26</v>
      </c>
      <c r="F2" s="24" t="s">
        <v>27</v>
      </c>
      <c r="G2" s="25" t="s">
        <v>28</v>
      </c>
      <c r="H2" s="24"/>
      <c r="I2" s="26"/>
      <c r="J2" s="27"/>
      <c r="K2" s="28"/>
      <c r="L2" s="28"/>
    </row>
    <row r="3" ht="15.75" customHeight="1">
      <c r="A3" s="10" t="s">
        <v>29</v>
      </c>
      <c r="B3" s="11" t="s">
        <v>30</v>
      </c>
      <c r="C3" s="12" t="s">
        <v>11</v>
      </c>
      <c r="D3" s="13">
        <v>0.55</v>
      </c>
      <c r="E3" s="29">
        <v>9.0</v>
      </c>
      <c r="F3" s="30" t="s">
        <v>31</v>
      </c>
      <c r="G3" s="30" t="s">
        <v>32</v>
      </c>
      <c r="H3" s="30"/>
      <c r="I3" s="31"/>
      <c r="J3" s="32" t="s">
        <v>33</v>
      </c>
      <c r="K3" s="4"/>
      <c r="L3" s="4"/>
    </row>
    <row r="4" ht="15.75" customHeight="1">
      <c r="A4" s="10" t="s">
        <v>34</v>
      </c>
      <c r="B4" s="11" t="s">
        <v>35</v>
      </c>
      <c r="C4" s="12" t="s">
        <v>11</v>
      </c>
      <c r="D4" s="13">
        <v>0.4</v>
      </c>
      <c r="E4" s="29">
        <v>4.0</v>
      </c>
      <c r="F4" s="30" t="s">
        <v>31</v>
      </c>
      <c r="G4" s="30" t="s">
        <v>32</v>
      </c>
      <c r="H4" s="30"/>
      <c r="I4" s="31"/>
      <c r="J4" s="4"/>
      <c r="K4" s="4"/>
      <c r="L4" s="4"/>
    </row>
    <row r="5" ht="15.75" customHeight="1">
      <c r="A5" s="33" t="s">
        <v>16</v>
      </c>
      <c r="B5" s="11" t="s">
        <v>36</v>
      </c>
      <c r="C5" s="12" t="s">
        <v>11</v>
      </c>
      <c r="D5" s="13">
        <v>0.05</v>
      </c>
      <c r="E5" s="29">
        <v>6.0</v>
      </c>
      <c r="F5" s="30" t="s">
        <v>37</v>
      </c>
      <c r="G5" s="30" t="s">
        <v>37</v>
      </c>
      <c r="H5" s="30"/>
      <c r="I5" s="31"/>
      <c r="J5" s="4"/>
      <c r="K5" s="4"/>
      <c r="L5" s="4"/>
    </row>
    <row r="6" ht="15.75" customHeight="1">
      <c r="A6" s="10"/>
      <c r="B6" s="34"/>
      <c r="C6" s="17" t="s">
        <v>18</v>
      </c>
      <c r="D6" s="18">
        <f>SUM(D1:D5)</f>
        <v>1</v>
      </c>
      <c r="E6" s="35">
        <f t="shared" ref="E6:G6" si="1">SUM((E3*$D$3)+(E4*$D$4)+(E5*$D$5))/10</f>
        <v>0.685</v>
      </c>
      <c r="F6" s="36">
        <f t="shared" si="1"/>
        <v>0.985</v>
      </c>
      <c r="G6" s="35">
        <f t="shared" si="1"/>
        <v>0.89</v>
      </c>
      <c r="H6" s="37"/>
      <c r="I6" s="37"/>
      <c r="J6" s="4"/>
      <c r="K6" s="4"/>
      <c r="L6" s="4"/>
    </row>
    <row r="7" ht="15.75" customHeight="1">
      <c r="A7" s="16"/>
      <c r="B7" s="14"/>
      <c r="C7" s="17"/>
      <c r="D7" s="18"/>
      <c r="E7" s="37"/>
      <c r="F7" s="37"/>
      <c r="G7" s="37"/>
      <c r="H7" s="37"/>
      <c r="I7" s="37"/>
      <c r="J7" s="4"/>
      <c r="K7" s="4"/>
      <c r="L7" s="4"/>
    </row>
    <row r="8" ht="15.75" customHeight="1">
      <c r="A8" s="16"/>
      <c r="B8" s="14"/>
      <c r="C8" s="17"/>
      <c r="D8" s="18"/>
      <c r="E8" s="37"/>
      <c r="F8" s="37"/>
      <c r="G8" s="37"/>
      <c r="H8" s="37"/>
      <c r="I8" s="37"/>
      <c r="J8" s="4"/>
      <c r="K8" s="4"/>
      <c r="L8" s="4"/>
    </row>
    <row r="9" ht="15.75" customHeight="1"/>
    <row r="10" ht="15.75" customHeight="1">
      <c r="A10" s="21"/>
      <c r="B10" s="21"/>
      <c r="C10" s="21"/>
    </row>
    <row r="11" ht="15.75" customHeight="1">
      <c r="A11" s="21"/>
      <c r="B11" s="38"/>
      <c r="C11" s="21"/>
    </row>
    <row r="12" ht="15.75" customHeight="1">
      <c r="A12" s="21"/>
      <c r="B12" s="39"/>
      <c r="C12" s="21"/>
    </row>
    <row r="13" ht="15.75" customHeight="1">
      <c r="A13" s="21"/>
      <c r="B13" s="21"/>
      <c r="C13" s="21"/>
    </row>
    <row r="14" ht="15.75" customHeight="1">
      <c r="A14" s="21"/>
      <c r="B14" s="21"/>
      <c r="C14" s="21"/>
    </row>
    <row r="15" ht="15.75" customHeight="1">
      <c r="A15" s="21"/>
      <c r="B15" s="21"/>
      <c r="C15" s="21"/>
    </row>
    <row r="16" ht="15.75" customHeight="1">
      <c r="A16" s="21"/>
      <c r="B16" s="21"/>
      <c r="C16" s="21"/>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drawing r:id="rId1"/>
</worksheet>
</file>