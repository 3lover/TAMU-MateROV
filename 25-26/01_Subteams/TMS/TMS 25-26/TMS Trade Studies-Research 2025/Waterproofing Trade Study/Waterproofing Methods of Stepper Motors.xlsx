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rade Study" sheetId="2" r:id="rId6"/>
  </sheets>
  <definedNames/>
  <calcPr/>
</workbook>
</file>

<file path=xl/sharedStrings.xml><?xml version="1.0" encoding="utf-8"?>
<sst xmlns="http://schemas.openxmlformats.org/spreadsheetml/2006/main" count="53" uniqueCount="43">
  <si>
    <t>Cooling for Electronics Housing</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</si>
  <si>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</si>
  <si>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</si>
  <si>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</si>
  <si>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</si>
  <si>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Convection</t>
  </si>
  <si>
    <t>Conduction</t>
  </si>
  <si>
    <t>Phase Change</t>
  </si>
  <si>
    <r>
      <rPr>
        <rFont val="Arial"/>
        <b/>
        <color rgb="FFFF0000"/>
        <sz val="18.0"/>
      </rPr>
      <t xml:space="preserve">Reminder:
</t>
    </r>
    <r>
      <rPr>
        <rFont val="Arial"/>
        <b/>
        <color rgb="FF000000"/>
        <sz val="18.0"/>
      </rPr>
      <t>Remove red text in your final versions</t>
    </r>
  </si>
  <si>
    <t>Reliability</t>
  </si>
  <si>
    <t>Component must not fail. Measured in failure rate (failures per hour). Note, a failure is either a complete breakdown of the system or an inability to stay within spec.</t>
  </si>
  <si>
    <t>10 = high,                            
5 = medium                                              
1 = low                                                 
0 = Fail</t>
  </si>
  <si>
    <t>Effectiveness</t>
  </si>
  <si>
    <t>Component must adequately cool eletrical components. Measured in heat flux (watts/m^2). Note, the grade for this criteria will consider proximity to cooling needs. In other words, a completely overkill solution will be scored less than a satisfactory solution.</t>
  </si>
  <si>
    <t>Compactability</t>
  </si>
  <si>
    <t>Component must consider system size limitations. Measured in volume (m^3)</t>
  </si>
  <si>
    <t>Cost</t>
  </si>
  <si>
    <t>Component must consider budget limitations. Measured in USD ($)</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</si>
  <si>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</si>
  <si>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</si>
  <si>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</si>
  <si>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Waterproofing Methods of Stepper Motors</t>
  </si>
  <si>
    <t xml:space="preserve">Criteria              
</t>
  </si>
  <si>
    <t xml:space="preserve">Explanation               
</t>
  </si>
  <si>
    <t xml:space="preserve">Grade                        
</t>
  </si>
  <si>
    <t xml:space="preserve">Weight         
</t>
  </si>
  <si>
    <t>Commercial Stepper Motors</t>
  </si>
  <si>
    <t>Epoxy Plotting</t>
  </si>
  <si>
    <t>Waterproof box with Rotary Seal</t>
  </si>
  <si>
    <t>Oil-fill with superglue and o-ring</t>
  </si>
  <si>
    <t>Simplicity</t>
  </si>
  <si>
    <t xml:space="preserve">Waterproofing solutions must be simple and reproducible to reduce errors in implementation, save time, and ensure reproducibility of results. </t>
  </si>
  <si>
    <t>6</t>
  </si>
  <si>
    <t>3</t>
  </si>
  <si>
    <t>Don't use these numbers it might be garbage for your use case</t>
  </si>
  <si>
    <t>Ingress Protection</t>
  </si>
  <si>
    <t>Must be able to reliably prevent water entry at all possible points, ensuring requirements with competition requirements</t>
  </si>
  <si>
    <t>10</t>
  </si>
  <si>
    <t>9</t>
  </si>
  <si>
    <t>5</t>
  </si>
  <si>
    <t xml:space="preserve">Important to consider for affordable, accessible materials and practical use. </t>
  </si>
  <si>
    <t>7</t>
  </si>
  <si>
    <t>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</si>
</sst>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8.0"/>
      <color theme="1"/>
      <name val="Arial"/>
    </font>
    <font/>
    <font>
      <color theme="1"/>
      <name val="Arial"/>
    </font>
    <font>
      <b/>
      <sz val="12.0"/>
      <color theme="1"/>
      <name val="Arial"/>
    </font>
    <font>
      <b/>
      <sz val="10.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b/>
      <sz val="14.0"/>
      <color theme="1"/>
      <name val="Arial"/>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EA4335"/>
        <bgColor rgb="FFEA4335"/>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wrapText="1"/>
    </xf>
    <xf borderId="5" fillId="3" fontId="4" numFmtId="0" xfId="0" applyAlignment="1" applyBorder="1" applyFont="1">
      <alignment horizontal="center" shrinkToFit="0" wrapText="1"/>
    </xf>
    <xf borderId="5" fillId="4" fontId="4" numFmtId="0" xfId="0" applyAlignment="1" applyBorder="1" applyFill="1" applyFont="1">
      <alignment horizontal="center" readingOrder="0"/>
    </xf>
    <xf borderId="5" fillId="4" fontId="5" numFmtId="0" xfId="0" applyAlignment="1" applyBorder="1" applyFont="1">
      <alignment horizontal="center" readingOrder="0"/>
    </xf>
    <xf borderId="0" fillId="5" fontId="6" numFmtId="0" xfId="0" applyAlignment="1" applyFill="1" applyFont="1">
      <alignment horizontal="center" shrinkToFit="0" wrapText="1"/>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readingOrder="0"/>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12" numFmtId="0" xfId="0" applyAlignment="1" applyBorder="1" applyFont="1">
      <alignment horizontal="center" readingOrder="0"/>
    </xf>
    <xf borderId="3" fillId="4" fontId="12"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3" numFmtId="0" xfId="0" applyAlignment="1" applyBorder="1" applyFont="1">
      <alignment horizontal="center"/>
    </xf>
    <xf borderId="0" fillId="8" fontId="3" numFmtId="0" xfId="0" applyAlignment="1" applyFill="1" applyFont="1">
      <alignment horizontal="center" shrinkToFit="0" wrapText="1"/>
    </xf>
    <xf borderId="4" fillId="0" fontId="3" numFmtId="0" xfId="0" applyAlignment="1" applyBorder="1" applyFont="1">
      <alignment horizontal="center"/>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8" t="s">
        <v>7</v>
      </c>
      <c r="H2" s="4"/>
      <c r="I2" s="9" t="s">
        <v>8</v>
      </c>
    </row>
    <row r="3" ht="15.75" customHeight="1">
      <c r="A3" s="10" t="s">
        <v>9</v>
      </c>
      <c r="B3" s="11" t="s">
        <v>10</v>
      </c>
      <c r="C3" s="12" t="s">
        <v>11</v>
      </c>
      <c r="D3" s="13">
        <v>0.4</v>
      </c>
      <c r="E3" s="14"/>
      <c r="F3" s="15"/>
      <c r="G3" s="14"/>
      <c r="H3" s="4"/>
      <c r="I3" s="4"/>
      <c r="J3" s="4"/>
    </row>
    <row r="4" ht="15.75" customHeight="1">
      <c r="A4" s="10" t="s">
        <v>12</v>
      </c>
      <c r="B4" s="11" t="s">
        <v>13</v>
      </c>
      <c r="C4" s="12" t="s">
        <v>11</v>
      </c>
      <c r="D4" s="13">
        <v>0.3</v>
      </c>
      <c r="E4" s="14"/>
      <c r="F4" s="15"/>
      <c r="G4" s="14"/>
      <c r="H4" s="4"/>
      <c r="I4" s="4"/>
      <c r="J4" s="4"/>
    </row>
    <row r="5" ht="15.75" customHeight="1">
      <c r="A5" s="10" t="s">
        <v>14</v>
      </c>
      <c r="B5" s="11" t="s">
        <v>15</v>
      </c>
      <c r="C5" s="12" t="s">
        <v>11</v>
      </c>
      <c r="D5" s="13">
        <v>0.2</v>
      </c>
      <c r="E5" s="14"/>
      <c r="F5" s="15"/>
      <c r="G5" s="14"/>
      <c r="H5" s="4"/>
      <c r="I5" s="4"/>
      <c r="J5" s="4"/>
    </row>
    <row r="6" ht="15.75" customHeight="1">
      <c r="A6" s="10" t="s">
        <v>16</v>
      </c>
      <c r="B6" s="11" t="s">
        <v>17</v>
      </c>
      <c r="C6" s="12" t="s">
        <v>11</v>
      </c>
      <c r="D6" s="13">
        <v>0.1</v>
      </c>
      <c r="E6" s="14"/>
      <c r="F6" s="15"/>
      <c r="G6" s="14"/>
      <c r="H6" s="4"/>
      <c r="I6" s="4"/>
      <c r="J6" s="4"/>
    </row>
    <row r="7" ht="15.75" customHeight="1">
      <c r="A7" s="16"/>
      <c r="B7" s="14"/>
      <c r="C7" s="17" t="s">
        <v>18</v>
      </c>
      <c r="D7" s="18">
        <f>SUM(D3:D6)</f>
        <v>1</v>
      </c>
      <c r="E7" s="19">
        <f t="shared" ref="E7:G7" si="1">SUM((E3*$D$3)+(E4*$D$4)+(E5*$D$5)+(E6*$D$6))/10</f>
        <v>0</v>
      </c>
      <c r="F7" s="19">
        <f t="shared" si="1"/>
        <v>0</v>
      </c>
      <c r="G7" s="19">
        <f t="shared" si="1"/>
        <v>0</v>
      </c>
      <c r="H7" s="4"/>
      <c r="I7" s="4"/>
      <c r="J7" s="4"/>
    </row>
    <row r="8" ht="15.75" customHeight="1">
      <c r="A8" s="4"/>
      <c r="B8" s="4"/>
      <c r="C8" s="4"/>
      <c r="D8" s="20" t="s">
        <v>19</v>
      </c>
      <c r="E8" s="4"/>
      <c r="F8" s="4"/>
      <c r="G8" s="4"/>
      <c r="H8" s="4"/>
      <c r="I8" s="4"/>
      <c r="J8" s="4"/>
    </row>
    <row r="9" ht="15.75" customHeight="1"/>
    <row r="10" ht="15.75" customHeight="1">
      <c r="A10" s="21"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8" width="12.63"/>
    <col customWidth="1" min="10" max="10" width="13.25"/>
  </cols>
  <sheetData>
    <row r="1" ht="15.75" customHeight="1">
      <c r="A1" s="1" t="s">
        <v>21</v>
      </c>
      <c r="B1" s="2"/>
      <c r="C1" s="2"/>
      <c r="D1" s="2"/>
      <c r="E1" s="2"/>
      <c r="F1" s="2"/>
      <c r="G1" s="2"/>
      <c r="H1" s="2"/>
      <c r="I1" s="3"/>
      <c r="J1" s="4"/>
      <c r="K1" s="4"/>
      <c r="L1" s="4"/>
    </row>
    <row r="2" ht="15.75" customHeight="1">
      <c r="A2" s="22" t="s">
        <v>22</v>
      </c>
      <c r="B2" s="23" t="s">
        <v>23</v>
      </c>
      <c r="C2" s="23" t="s">
        <v>24</v>
      </c>
      <c r="D2" s="23" t="s">
        <v>25</v>
      </c>
      <c r="E2" s="24" t="s">
        <v>26</v>
      </c>
      <c r="F2" s="24" t="s">
        <v>27</v>
      </c>
      <c r="G2" s="24" t="s">
        <v>28</v>
      </c>
      <c r="H2" s="24" t="s">
        <v>29</v>
      </c>
      <c r="I2" s="25"/>
      <c r="J2" s="26"/>
      <c r="K2" s="27"/>
      <c r="L2" s="27"/>
    </row>
    <row r="3" ht="15.75" customHeight="1">
      <c r="A3" s="10" t="s">
        <v>30</v>
      </c>
      <c r="B3" s="11" t="s">
        <v>31</v>
      </c>
      <c r="C3" s="12" t="s">
        <v>11</v>
      </c>
      <c r="D3" s="13">
        <v>0.3</v>
      </c>
      <c r="E3" s="28">
        <v>10.0</v>
      </c>
      <c r="F3" s="29" t="s">
        <v>32</v>
      </c>
      <c r="G3" s="29" t="s">
        <v>33</v>
      </c>
      <c r="H3" s="29" t="s">
        <v>32</v>
      </c>
      <c r="I3" s="30"/>
      <c r="J3" s="31" t="s">
        <v>34</v>
      </c>
      <c r="K3" s="4"/>
      <c r="L3" s="4"/>
    </row>
    <row r="4" ht="15.75" customHeight="1">
      <c r="A4" s="10" t="s">
        <v>35</v>
      </c>
      <c r="B4" s="11" t="s">
        <v>36</v>
      </c>
      <c r="C4" s="12" t="s">
        <v>11</v>
      </c>
      <c r="D4" s="13">
        <v>0.6</v>
      </c>
      <c r="E4" s="30">
        <v>6.0</v>
      </c>
      <c r="F4" s="29" t="s">
        <v>37</v>
      </c>
      <c r="G4" s="29" t="s">
        <v>38</v>
      </c>
      <c r="H4" s="29" t="s">
        <v>39</v>
      </c>
      <c r="I4" s="30"/>
      <c r="J4" s="4"/>
      <c r="K4" s="4"/>
      <c r="L4" s="4"/>
    </row>
    <row r="5" ht="15.75" customHeight="1">
      <c r="A5" s="32" t="s">
        <v>16</v>
      </c>
      <c r="B5" s="11" t="s">
        <v>40</v>
      </c>
      <c r="C5" s="12" t="s">
        <v>11</v>
      </c>
      <c r="D5" s="13">
        <v>0.1</v>
      </c>
      <c r="E5" s="28">
        <v>2.0</v>
      </c>
      <c r="F5" s="29" t="s">
        <v>41</v>
      </c>
      <c r="G5" s="29" t="s">
        <v>42</v>
      </c>
      <c r="H5" s="29" t="s">
        <v>38</v>
      </c>
      <c r="I5" s="30"/>
      <c r="J5" s="4"/>
      <c r="K5" s="4"/>
      <c r="L5" s="4"/>
    </row>
    <row r="6" ht="15.75" customHeight="1">
      <c r="A6" s="16"/>
      <c r="B6" s="14"/>
      <c r="C6" s="17" t="s">
        <v>18</v>
      </c>
      <c r="D6" s="18">
        <f>SUM(D1:D5)</f>
        <v>1</v>
      </c>
      <c r="E6" s="33">
        <f t="shared" ref="E6:H6" si="1">SUM((E3*$D$3)+(E4*$D$4)+(E5*$D$5))/10</f>
        <v>0.68</v>
      </c>
      <c r="F6" s="33">
        <f t="shared" si="1"/>
        <v>0.85</v>
      </c>
      <c r="G6" s="33">
        <f t="shared" si="1"/>
        <v>0.67</v>
      </c>
      <c r="H6" s="33">
        <f t="shared" si="1"/>
        <v>0.57</v>
      </c>
      <c r="I6" s="19"/>
      <c r="J6" s="4"/>
      <c r="K6" s="4"/>
      <c r="L6" s="4"/>
    </row>
    <row r="7" ht="15.75" customHeight="1">
      <c r="A7" s="16"/>
      <c r="B7" s="14"/>
      <c r="C7" s="17"/>
      <c r="D7" s="18"/>
      <c r="E7" s="33"/>
      <c r="F7" s="33"/>
      <c r="G7" s="33"/>
      <c r="H7" s="33"/>
      <c r="I7" s="19"/>
      <c r="J7" s="4"/>
      <c r="K7" s="4"/>
      <c r="L7" s="4"/>
    </row>
    <row r="8" ht="15.75" customHeight="1">
      <c r="A8" s="16"/>
      <c r="B8" s="14"/>
      <c r="C8" s="17"/>
      <c r="D8" s="18"/>
      <c r="E8" s="33"/>
      <c r="F8" s="34"/>
      <c r="G8" s="34"/>
      <c r="H8" s="34"/>
      <c r="I8" s="19"/>
      <c r="J8" s="4"/>
      <c r="K8" s="4"/>
      <c r="L8" s="4"/>
    </row>
    <row r="9" ht="15.75" customHeight="1"/>
    <row r="10" ht="15.75" customHeight="1">
      <c r="A10" s="21"/>
      <c r="B10" s="21"/>
      <c r="C10" s="21"/>
    </row>
    <row r="11" ht="15.75" customHeight="1">
      <c r="A11" s="21"/>
      <c r="B11" s="21"/>
      <c r="C11" s="21"/>
    </row>
    <row r="12" ht="15.75" customHeight="1">
      <c r="A12" s="21"/>
      <c r="B12" s="21"/>
      <c r="C12" s="21"/>
    </row>
    <row r="13" ht="15.75" customHeight="1">
      <c r="A13" s="21"/>
      <c r="B13" s="21"/>
      <c r="C13" s="21"/>
    </row>
    <row r="14" ht="15.75" customHeight="1">
      <c r="A14" s="21"/>
      <c r="B14" s="21"/>
      <c r="C14" s="21"/>
    </row>
    <row r="15" ht="15.75" customHeight="1">
      <c r="A15" s="21"/>
      <c r="B15" s="21"/>
      <c r="C15" s="21"/>
    </row>
    <row r="16" ht="15.75" customHeight="1">
      <c r="A16" s="21"/>
      <c r="B16" s="21"/>
      <c r="C16" s="2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rawing r:id="rId1"/>
</worksheet>
</file>