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<sst xmlns="http://schemas.openxmlformats.org/spreadsheetml/2006/main" count="59" uniqueCount="40">
  <si>
    <t>Cooling for Electronics Housing</t>
  </si>
  <si>
    <t xml:space="preserve">Criteria              
</t>
  </si>
  <si>
    <t xml:space="preserve">Explanation               
</t>
  </si>
  <si>
    <t xml:space="preserve">Grade                        
</t>
  </si>
  <si>
    <t xml:space="preserve">Weight         
</t>
  </si>
  <si>
    <t>Forced Convection</t>
  </si>
  <si>
    <t>SImple Conduction</t>
  </si>
  <si>
    <t>Heat Pipes</t>
  </si>
  <si>
    <t>Reliability</t>
  </si>
  <si>
    <t>Component must not fail. Measured in failure rate (failures per hour). Note, a failure is either a complete breakdown of the system or an inability to stay within spec.</t>
  </si>
  <si>
    <t>10 = high,                            
5 = medium                                              
1 = low                                                 
0 = Fail</t>
  </si>
  <si>
    <t>10</t>
  </si>
  <si>
    <t>Effectiveness</t>
  </si>
  <si>
    <t>Component must adequately cool eletrical components. Measured in heat flux (watts/m^2). Note, this grade should be modified as we determine exact cooling requirements, for a solution that is "overkill" will be scored lower.</t>
  </si>
  <si>
    <t>5</t>
  </si>
  <si>
    <t>Compactability</t>
  </si>
  <si>
    <t>Component must consider system size limitations. Measured in volume (m^3)</t>
  </si>
  <si>
    <t>8</t>
  </si>
  <si>
    <t>Manufacturability</t>
  </si>
  <si>
    <t>Component must be reasonably manufacturable or available off the shelf.</t>
  </si>
  <si>
    <t>9</t>
  </si>
  <si>
    <t>Cost</t>
  </si>
  <si>
    <t>Component must consider budget limitations. Measured in USD ($)</t>
  </si>
  <si>
    <t>TOTALS:</t>
  </si>
  <si>
    <t>Material of the Moon Rover Chassis</t>
  </si>
  <si>
    <t>Aluminum
Alloy</t>
  </si>
  <si>
    <t>Titanium
Alloy</t>
  </si>
  <si>
    <t>Magnesium
Alloy</t>
  </si>
  <si>
    <t>Weight</t>
  </si>
  <si>
    <t>Important for mobility and overall balance of rover
Big determiner of the speed of the rover</t>
  </si>
  <si>
    <t>Don't use these numbers it might be garbage for your use case</t>
  </si>
  <si>
    <t>Strength</t>
  </si>
  <si>
    <t>Must be able to support the different subsystems of the rover with no issues or risk</t>
  </si>
  <si>
    <t>Thermal Capabilities</t>
  </si>
  <si>
    <t>Needs to be able to withstand the extreme temperatures of the lunar environment</t>
  </si>
  <si>
    <t>7</t>
  </si>
  <si>
    <t>Fatigue Resistance</t>
  </si>
  <si>
    <t>Needs to be able to withstand the harsh lunar dust and constant strain placed on it by the environment and rover components</t>
  </si>
  <si>
    <t>Important to consider for the customer-defined requirement of cost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</si>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</sst>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sz val="7.0"/>
      <color theme="1"/>
      <name val="Arial"/>
    </font>
    <font>
      <b/>
      <sz val="10.0"/>
      <color theme="1"/>
      <name val="Arial"/>
    </font>
    <font>
      <b/>
      <sz val="18.0"/>
      <color rgb="FFFF0000"/>
      <name val="Arial"/>
    </font>
    <font>
      <color theme="1"/>
      <name val="Roboto"/>
    </font>
    <font>
      <b/>
      <color theme="1"/>
      <name val="Arial"/>
    </font>
    <font>
      <b/>
      <color rgb="FFFF0000"/>
      <name val="Arial"/>
    </font>
    <font>
      <sz val="13.0"/>
      <color theme="1"/>
      <name val="Arial"/>
    </font>
    <font>
      <b/>
      <sz val="14.0"/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ED5D2B"/>
        <bgColor rgb="FFED5D2B"/>
      </patternFill>
    </fill>
    <fill>
      <patternFill patternType="solid">
        <fgColor rgb="FFEA4335"/>
        <bgColor rgb="FFEA4335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wrapText="1"/>
    </xf>
    <xf borderId="5" fillId="3" fontId="4" numFmtId="0" xfId="0" applyAlignment="1" applyBorder="1" applyFont="1">
      <alignment horizontal="center" readingOrder="0" shrinkToFit="0" wrapText="1"/>
    </xf>
    <xf borderId="5" fillId="4" fontId="5" numFmtId="0" xfId="0" applyAlignment="1" applyBorder="1" applyFill="1" applyFont="1">
      <alignment horizontal="center" readingOrder="0"/>
    </xf>
    <xf borderId="5" fillId="4" fontId="6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wrapText="1"/>
    </xf>
    <xf borderId="5" fillId="5" fontId="9" numFmtId="0" xfId="0" applyAlignment="1" applyBorder="1" applyFill="1" applyFont="1">
      <alignment shrinkToFit="0" wrapText="1"/>
    </xf>
    <xf borderId="5" fillId="0" fontId="3" numFmtId="9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readingOrder="0"/>
    </xf>
    <xf borderId="5" fillId="0" fontId="3" numFmtId="49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4" fillId="0" fontId="3" numFmtId="0" xfId="0" applyBorder="1" applyFont="1"/>
    <xf borderId="5" fillId="0" fontId="3" numFmtId="0" xfId="0" applyBorder="1" applyFont="1"/>
    <xf borderId="6" fillId="0" fontId="5" numFmtId="0" xfId="0" applyAlignment="1" applyBorder="1" applyFont="1">
      <alignment horizontal="center"/>
    </xf>
    <xf borderId="7" fillId="0" fontId="10" numFmtId="9" xfId="0" applyAlignment="1" applyBorder="1" applyFont="1" applyNumberFormat="1">
      <alignment horizontal="center"/>
    </xf>
    <xf borderId="5" fillId="6" fontId="3" numFmtId="10" xfId="0" applyAlignment="1" applyBorder="1" applyFill="1" applyFont="1" applyNumberFormat="1">
      <alignment horizontal="center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shrinkToFit="0" vertical="top" wrapText="1"/>
    </xf>
    <xf borderId="1" fillId="2" fontId="1" numFmtId="0" xfId="0" applyAlignment="1" applyBorder="1" applyFont="1">
      <alignment horizontal="center"/>
    </xf>
    <xf borderId="7" fillId="3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wrapText="1"/>
    </xf>
    <xf borderId="3" fillId="4" fontId="13" numFmtId="0" xfId="0" applyAlignment="1" applyBorder="1" applyFont="1">
      <alignment horizontal="center"/>
    </xf>
    <xf borderId="8" fillId="0" fontId="3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shrinkToFit="0" wrapText="1"/>
    </xf>
    <xf borderId="5" fillId="0" fontId="3" numFmtId="9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5" fillId="0" fontId="3" numFmtId="49" xfId="0" applyAlignment="1" applyBorder="1" applyFont="1" applyNumberFormat="1">
      <alignment horizontal="center"/>
    </xf>
    <xf borderId="0" fillId="7" fontId="3" numFmtId="0" xfId="0" applyAlignment="1" applyFill="1" applyFont="1">
      <alignment horizontal="center" shrinkToFit="0" wrapText="1"/>
    </xf>
    <xf borderId="5" fillId="5" fontId="14" numFmtId="0" xfId="0" applyAlignment="1" applyBorder="1" applyFont="1">
      <alignment horizontal="center" shrinkToFit="0" wrapText="1"/>
    </xf>
    <xf borderId="5" fillId="8" fontId="3" numFmtId="10" xfId="0" applyAlignment="1" applyBorder="1" applyFill="1" applyFont="1" applyNumberFormat="1">
      <alignment horizontal="center"/>
    </xf>
    <xf borderId="5" fillId="9" fontId="3" numFmtId="10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7.75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4"/>
      <c r="I2" s="10"/>
      <c r="J2" s="10"/>
    </row>
    <row r="3" ht="15.75" customHeight="1">
      <c r="A3" s="11" t="s">
        <v>8</v>
      </c>
      <c r="B3" s="12" t="s">
        <v>9</v>
      </c>
      <c r="C3" s="13" t="s">
        <v>10</v>
      </c>
      <c r="D3" s="14">
        <v>0.25</v>
      </c>
      <c r="E3" s="15">
        <v>6.0</v>
      </c>
      <c r="F3" s="16" t="s">
        <v>11</v>
      </c>
      <c r="G3" s="15">
        <v>9.0</v>
      </c>
      <c r="H3" s="17"/>
      <c r="I3" s="4"/>
      <c r="J3" s="4"/>
    </row>
    <row r="4" ht="15.75" customHeight="1">
      <c r="A4" s="11" t="s">
        <v>12</v>
      </c>
      <c r="B4" s="12" t="s">
        <v>13</v>
      </c>
      <c r="C4" s="13" t="s">
        <v>10</v>
      </c>
      <c r="D4" s="14">
        <v>0.25</v>
      </c>
      <c r="E4" s="15">
        <v>7.0</v>
      </c>
      <c r="F4" s="16" t="s">
        <v>14</v>
      </c>
      <c r="G4" s="15">
        <v>9.0</v>
      </c>
      <c r="H4" s="4"/>
      <c r="I4" s="4"/>
      <c r="J4" s="4"/>
    </row>
    <row r="5" ht="15.75" customHeight="1">
      <c r="A5" s="11" t="s">
        <v>15</v>
      </c>
      <c r="B5" s="12" t="s">
        <v>16</v>
      </c>
      <c r="C5" s="13" t="s">
        <v>10</v>
      </c>
      <c r="D5" s="14">
        <v>0.15</v>
      </c>
      <c r="E5" s="15">
        <v>6.0</v>
      </c>
      <c r="F5" s="16" t="s">
        <v>17</v>
      </c>
      <c r="G5" s="15">
        <v>9.0</v>
      </c>
      <c r="H5" s="4"/>
      <c r="I5" s="4"/>
      <c r="J5" s="4"/>
    </row>
    <row r="6" ht="15.75" customHeight="1">
      <c r="A6" s="11" t="s">
        <v>18</v>
      </c>
      <c r="B6" s="12" t="s">
        <v>19</v>
      </c>
      <c r="C6" s="13" t="s">
        <v>10</v>
      </c>
      <c r="D6" s="14">
        <v>0.15</v>
      </c>
      <c r="E6" s="15">
        <v>7.0</v>
      </c>
      <c r="F6" s="16" t="s">
        <v>20</v>
      </c>
      <c r="G6" s="15">
        <v>7.0</v>
      </c>
      <c r="H6" s="4"/>
      <c r="I6" s="4"/>
      <c r="J6" s="4"/>
    </row>
    <row r="7" ht="15.75" customHeight="1">
      <c r="A7" s="11" t="s">
        <v>21</v>
      </c>
      <c r="B7" s="12" t="s">
        <v>22</v>
      </c>
      <c r="C7" s="13" t="s">
        <v>10</v>
      </c>
      <c r="D7" s="14">
        <v>0.2</v>
      </c>
      <c r="E7" s="15">
        <v>7.0</v>
      </c>
      <c r="F7" s="16" t="s">
        <v>11</v>
      </c>
      <c r="G7" s="15">
        <v>6.0</v>
      </c>
      <c r="H7" s="4"/>
      <c r="I7" s="4"/>
      <c r="J7" s="4"/>
    </row>
    <row r="8" ht="15.75" customHeight="1">
      <c r="A8" s="18"/>
      <c r="B8" s="19"/>
      <c r="C8" s="20" t="s">
        <v>23</v>
      </c>
      <c r="D8" s="21">
        <f>SUM(D3:D7)</f>
        <v>1</v>
      </c>
      <c r="E8" s="22">
        <f t="shared" ref="E8:G8" si="1">SUM((E3*$D$3)+(E4*$D$4)+(E5*$D$5)+(E6*$D$6)+(E7*$D$7))/10</f>
        <v>0.66</v>
      </c>
      <c r="F8" s="22">
        <f t="shared" si="1"/>
        <v>0.83</v>
      </c>
      <c r="G8" s="22">
        <f t="shared" si="1"/>
        <v>0.81</v>
      </c>
      <c r="H8" s="4"/>
      <c r="I8" s="4"/>
      <c r="J8" s="4"/>
    </row>
    <row r="9" ht="15.75" customHeight="1">
      <c r="A9" s="4"/>
      <c r="B9" s="4"/>
      <c r="C9" s="4"/>
      <c r="D9" s="23"/>
      <c r="E9" s="4"/>
      <c r="F9" s="4"/>
      <c r="G9" s="4"/>
      <c r="H9" s="4"/>
      <c r="I9" s="4"/>
      <c r="J9" s="4"/>
    </row>
    <row r="10" ht="15.75" customHeight="1"/>
    <row r="11" ht="15.75" customHeight="1">
      <c r="A11" s="24"/>
      <c r="B11" s="24"/>
      <c r="C11" s="24"/>
    </row>
    <row r="12" ht="15.75" customHeight="1">
      <c r="A12" s="24"/>
      <c r="B12" s="24"/>
      <c r="C12" s="24"/>
    </row>
    <row r="13" ht="15.75" customHeight="1">
      <c r="A13" s="24"/>
      <c r="B13" s="24"/>
      <c r="C13" s="24"/>
    </row>
    <row r="14" ht="15.75" customHeight="1">
      <c r="A14" s="24"/>
      <c r="B14" s="24"/>
      <c r="C14" s="24"/>
    </row>
    <row r="15" ht="15.75" customHeight="1">
      <c r="A15" s="24"/>
      <c r="B15" s="24"/>
      <c r="C15" s="24"/>
    </row>
    <row r="16" ht="15.75" customHeight="1">
      <c r="A16" s="24"/>
      <c r="B16" s="24"/>
      <c r="C16" s="24"/>
    </row>
    <row r="17" ht="15.75" customHeight="1">
      <c r="A17" s="24"/>
      <c r="B17" s="24"/>
      <c r="C17" s="2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6.63"/>
    <col customWidth="1" min="5" max="6" width="12.63"/>
    <col customWidth="1" min="8" max="8" width="13.25"/>
  </cols>
  <sheetData>
    <row r="1" ht="15.75" customHeight="1">
      <c r="A1" s="25" t="s">
        <v>24</v>
      </c>
      <c r="B1" s="2"/>
      <c r="C1" s="2"/>
      <c r="D1" s="2"/>
      <c r="E1" s="2"/>
      <c r="F1" s="2"/>
      <c r="G1" s="3"/>
      <c r="H1" s="4"/>
      <c r="I1" s="4"/>
      <c r="J1" s="4"/>
    </row>
    <row r="2" ht="15.75" customHeight="1">
      <c r="A2" s="26" t="s">
        <v>1</v>
      </c>
      <c r="B2" s="27" t="s">
        <v>2</v>
      </c>
      <c r="C2" s="27" t="s">
        <v>3</v>
      </c>
      <c r="D2" s="27" t="s">
        <v>4</v>
      </c>
      <c r="E2" s="28" t="s">
        <v>25</v>
      </c>
      <c r="F2" s="28" t="s">
        <v>26</v>
      </c>
      <c r="G2" s="28" t="s">
        <v>27</v>
      </c>
      <c r="H2" s="29"/>
      <c r="I2" s="10"/>
      <c r="J2" s="10"/>
    </row>
    <row r="3" ht="15.75" customHeight="1">
      <c r="A3" s="30" t="s">
        <v>28</v>
      </c>
      <c r="B3" s="31" t="s">
        <v>29</v>
      </c>
      <c r="C3" s="13" t="s">
        <v>10</v>
      </c>
      <c r="D3" s="32">
        <v>0.225</v>
      </c>
      <c r="E3" s="33">
        <v>7.0</v>
      </c>
      <c r="F3" s="34" t="s">
        <v>14</v>
      </c>
      <c r="G3" s="33">
        <v>9.0</v>
      </c>
      <c r="H3" s="35" t="s">
        <v>30</v>
      </c>
      <c r="I3" s="4"/>
      <c r="J3" s="4"/>
    </row>
    <row r="4" ht="15.75" customHeight="1">
      <c r="A4" s="30" t="s">
        <v>31</v>
      </c>
      <c r="B4" s="31" t="s">
        <v>32</v>
      </c>
      <c r="C4" s="13" t="s">
        <v>10</v>
      </c>
      <c r="D4" s="32">
        <v>0.22</v>
      </c>
      <c r="E4" s="33">
        <v>6.0</v>
      </c>
      <c r="F4" s="34" t="s">
        <v>20</v>
      </c>
      <c r="G4" s="33">
        <v>8.0</v>
      </c>
      <c r="H4" s="4"/>
      <c r="I4" s="4"/>
      <c r="J4" s="4"/>
    </row>
    <row r="5" ht="15.75" customHeight="1">
      <c r="A5" s="30" t="s">
        <v>33</v>
      </c>
      <c r="B5" s="36" t="s">
        <v>34</v>
      </c>
      <c r="C5" s="13" t="s">
        <v>10</v>
      </c>
      <c r="D5" s="32">
        <v>0.25</v>
      </c>
      <c r="E5" s="33">
        <v>9.0</v>
      </c>
      <c r="F5" s="34" t="s">
        <v>35</v>
      </c>
      <c r="G5" s="33">
        <v>8.0</v>
      </c>
      <c r="H5" s="4"/>
      <c r="I5" s="4"/>
      <c r="J5" s="4"/>
    </row>
    <row r="6" ht="15.75" customHeight="1">
      <c r="A6" s="30" t="s">
        <v>36</v>
      </c>
      <c r="B6" s="31" t="s">
        <v>37</v>
      </c>
      <c r="C6" s="13" t="s">
        <v>10</v>
      </c>
      <c r="D6" s="32">
        <v>0.2</v>
      </c>
      <c r="E6" s="33">
        <v>7.0</v>
      </c>
      <c r="F6" s="34" t="s">
        <v>20</v>
      </c>
      <c r="G6" s="33">
        <v>8.0</v>
      </c>
      <c r="H6" s="4"/>
      <c r="I6" s="4"/>
      <c r="J6" s="4"/>
    </row>
    <row r="7" ht="15.75" customHeight="1">
      <c r="A7" s="30" t="s">
        <v>21</v>
      </c>
      <c r="B7" s="31" t="s">
        <v>38</v>
      </c>
      <c r="C7" s="13" t="s">
        <v>10</v>
      </c>
      <c r="D7" s="32">
        <v>0.1</v>
      </c>
      <c r="E7" s="33">
        <v>8.0</v>
      </c>
      <c r="F7" s="34" t="s">
        <v>39</v>
      </c>
      <c r="G7" s="33">
        <v>7.0</v>
      </c>
      <c r="H7" s="4"/>
      <c r="I7" s="4"/>
      <c r="J7" s="4"/>
    </row>
    <row r="8" ht="15.75" customHeight="1">
      <c r="A8" s="18"/>
      <c r="B8" s="19"/>
      <c r="C8" s="20" t="s">
        <v>23</v>
      </c>
      <c r="D8" s="21">
        <f>SUM(D3:D7)</f>
        <v>0.995</v>
      </c>
      <c r="E8" s="37">
        <f t="shared" ref="E8:G8" si="1">SUM((E3*$D$3)+(E4*$D$4)+(E5*$D$5)+(E6*$D$6)+(E7*$D$7))/10</f>
        <v>0.7345</v>
      </c>
      <c r="F8" s="38">
        <f t="shared" si="1"/>
        <v>0.7255</v>
      </c>
      <c r="G8" s="22">
        <f t="shared" si="1"/>
        <v>0.8085</v>
      </c>
      <c r="H8" s="4"/>
      <c r="I8" s="4"/>
      <c r="J8" s="4"/>
    </row>
    <row r="9" ht="15.75" customHeight="1"/>
    <row r="10" ht="15.75" customHeight="1">
      <c r="A10" s="24"/>
      <c r="B10" s="24"/>
      <c r="C10" s="24"/>
    </row>
    <row r="11" ht="15.75" customHeight="1">
      <c r="A11" s="24"/>
      <c r="B11" s="24"/>
      <c r="C11" s="24"/>
    </row>
    <row r="12" ht="15.75" customHeight="1">
      <c r="A12" s="24"/>
      <c r="B12" s="24"/>
      <c r="C12" s="24"/>
    </row>
    <row r="13" ht="15.75" customHeight="1">
      <c r="A13" s="24"/>
      <c r="B13" s="24"/>
      <c r="C13" s="24"/>
    </row>
    <row r="14" ht="15.75" customHeight="1">
      <c r="A14" s="24"/>
      <c r="B14" s="24"/>
      <c r="C14" s="24"/>
    </row>
    <row r="15" ht="15.75" customHeight="1">
      <c r="A15" s="24"/>
      <c r="B15" s="24"/>
      <c r="C15" s="24"/>
    </row>
    <row r="16" ht="15.75" customHeight="1">
      <c r="A16" s="24"/>
      <c r="B16" s="24"/>
      <c r="C16" s="2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