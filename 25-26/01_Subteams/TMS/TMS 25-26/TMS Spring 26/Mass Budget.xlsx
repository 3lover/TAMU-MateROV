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<sst xmlns="http://schemas.openxmlformats.org/spreadsheetml/2006/main" count="63" uniqueCount="46">
  <si>
    <t>Mass Budget(ROV)</t>
  </si>
  <si>
    <t>Mass Budget(Float)</t>
  </si>
  <si>
    <t>Component</t>
  </si>
  <si>
    <t>Mass (Kg)</t>
  </si>
  <si>
    <t>Mass</t>
  </si>
  <si>
    <t>Final Mass(KG) BW</t>
  </si>
  <si>
    <t>TMS</t>
  </si>
  <si>
    <t>PETG Chassis</t>
  </si>
  <si>
    <t>Electronics Enclosure Chassis</t>
  </si>
  <si>
    <t>Electronics Enclosure</t>
  </si>
  <si>
    <t>Sonar Plate</t>
  </si>
  <si>
    <t xml:space="preserve">Post Wiring </t>
  </si>
  <si>
    <t>F&amp;P</t>
  </si>
  <si>
    <t>Arm Base</t>
  </si>
  <si>
    <t>Peristaltic pump</t>
  </si>
  <si>
    <t>Air Tank(?)</t>
  </si>
  <si>
    <t>Not Chosen</t>
  </si>
  <si>
    <t>Arm</t>
  </si>
  <si>
    <t>4x Hobby Servos</t>
  </si>
  <si>
    <t>C&amp;C</t>
  </si>
  <si>
    <t>Ultrasonic  Sensor (3m, UART)</t>
  </si>
  <si>
    <t>Foam Sheet 3/16 in Thick, Black</t>
  </si>
  <si>
    <t>6 x Thrusters</t>
  </si>
  <si>
    <t>6 x Shroud Guards</t>
  </si>
  <si>
    <t>GNC</t>
  </si>
  <si>
    <t>Raspberry Pi Pico W</t>
  </si>
  <si>
    <t>EPS</t>
  </si>
  <si>
    <t>PCB</t>
  </si>
  <si>
    <t>Littelfuse</t>
  </si>
  <si>
    <t>5V Battery Back</t>
  </si>
  <si>
    <t>Anderson SBS50 Connector</t>
  </si>
  <si>
    <t>32 GB SD Card</t>
  </si>
  <si>
    <t>Electronics Enclosure + Internals</t>
  </si>
  <si>
    <t>QTY</t>
  </si>
  <si>
    <t>BlueRobotics Navigator Flight Controller</t>
  </si>
  <si>
    <t>Watertight Enclosure Tube</t>
  </si>
  <si>
    <t>Electronics Plate</t>
  </si>
  <si>
    <t>4 x Lights</t>
  </si>
  <si>
    <t>Raspberry Pi 5/8GB</t>
  </si>
  <si>
    <t>BRIO100</t>
  </si>
  <si>
    <t>ArduCam 4k</t>
  </si>
  <si>
    <t>Hi</t>
  </si>
  <si>
    <t xml:space="preserve">Hi </t>
  </si>
  <si>
    <t>Element</t>
  </si>
  <si>
    <t xml:space="preserve">Chassis </t>
  </si>
  <si>
    <t>Electronics Enclosure + Internal Electronics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</si>
</sst>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F1111"/>
      <name val="&quot;Amazon Ember&quot;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D2533"/>
        <bgColor rgb="FF0D2533"/>
      </patternFill>
    </fill>
    <fill>
      <patternFill patternType="solid">
        <fgColor rgb="FF7FC9D4"/>
        <bgColor rgb="FF7FC9D4"/>
      </patternFill>
    </fill>
    <fill>
      <patternFill patternType="solid">
        <fgColor rgb="FF2E7C7B"/>
        <bgColor rgb="FF2E7C7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1" fillId="4" fontId="1" numFmtId="0" xfId="0" applyAlignment="1" applyBorder="1" applyFont="1">
      <alignment readingOrder="0"/>
    </xf>
    <xf borderId="2" fillId="4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7" max="7" width="25.25"/>
  </cols>
  <sheetData>
    <row r="1">
      <c r="A1" s="1" t="s">
        <v>0</v>
      </c>
      <c r="G1" s="1" t="s">
        <v>1</v>
      </c>
    </row>
    <row r="2">
      <c r="A2" s="2" t="s">
        <v>2</v>
      </c>
      <c r="B2" s="2" t="s">
        <v>3</v>
      </c>
      <c r="C2" s="2" t="s">
        <v>4</v>
      </c>
      <c r="E2" s="2" t="s">
        <v>5</v>
      </c>
      <c r="G2" s="2" t="s">
        <v>2</v>
      </c>
      <c r="H2" s="2" t="s">
        <v>3</v>
      </c>
      <c r="I2" s="2" t="s">
        <v>4</v>
      </c>
      <c r="K2" s="2" t="s">
        <v>5</v>
      </c>
    </row>
    <row r="3">
      <c r="A3" s="2" t="s">
        <v>6</v>
      </c>
      <c r="B3" s="2"/>
      <c r="G3" s="2" t="s">
        <v>6</v>
      </c>
      <c r="H3" s="2"/>
    </row>
    <row r="4">
      <c r="A4" s="2" t="s">
        <v>7</v>
      </c>
      <c r="B4" s="2">
        <v>1.43529</v>
      </c>
      <c r="C4" s="3">
        <f>1.4352</f>
        <v>1.4352</v>
      </c>
      <c r="E4" s="3">
        <f>sum(C1:C108)</f>
        <v>8.56146</v>
      </c>
      <c r="G4" s="4" t="s">
        <v>8</v>
      </c>
      <c r="H4" s="2">
        <v>0.68817</v>
      </c>
      <c r="I4" s="2">
        <f>H4</f>
        <v>0.68817</v>
      </c>
      <c r="K4" s="3">
        <f>sum(I1:I108)</f>
        <v>4.56825</v>
      </c>
    </row>
    <row r="5">
      <c r="A5" s="2" t="s">
        <v>9</v>
      </c>
      <c r="B5" s="2">
        <v>2.47057</v>
      </c>
      <c r="C5" s="3">
        <f t="shared" ref="C5:C7" si="1">B5</f>
        <v>2.47057</v>
      </c>
    </row>
    <row r="6">
      <c r="A6" s="2" t="s">
        <v>10</v>
      </c>
      <c r="B6" s="5">
        <v>0.02</v>
      </c>
      <c r="C6" s="3">
        <f t="shared" si="1"/>
        <v>0.02</v>
      </c>
      <c r="E6" s="2" t="s">
        <v>11</v>
      </c>
      <c r="G6" s="2" t="s">
        <v>12</v>
      </c>
      <c r="K6" s="2" t="s">
        <v>11</v>
      </c>
    </row>
    <row r="7">
      <c r="A7" s="2" t="s">
        <v>13</v>
      </c>
      <c r="B7" s="2">
        <v>0.86047</v>
      </c>
      <c r="C7" s="3">
        <f t="shared" si="1"/>
        <v>0.86047</v>
      </c>
      <c r="E7" s="3">
        <f>E4 * 1.15</f>
        <v>9.845679</v>
      </c>
      <c r="G7" s="4" t="s">
        <v>14</v>
      </c>
      <c r="H7" s="2">
        <v>0.32</v>
      </c>
      <c r="I7" s="3">
        <f>H7</f>
        <v>0.32</v>
      </c>
      <c r="K7" s="3">
        <f>K4 * 1.15</f>
        <v>5.2534875</v>
      </c>
    </row>
    <row r="8">
      <c r="A8" s="2"/>
      <c r="B8" s="2"/>
      <c r="G8" s="4" t="s">
        <v>15</v>
      </c>
      <c r="H8" s="2" t="s">
        <v>16</v>
      </c>
    </row>
    <row r="9">
      <c r="A9" s="2" t="s">
        <v>17</v>
      </c>
      <c r="B9" s="2">
        <v>0.15004</v>
      </c>
      <c r="C9" s="3">
        <f>B9</f>
        <v>0.15004</v>
      </c>
      <c r="G9" s="4"/>
    </row>
    <row r="10">
      <c r="A10" s="2" t="s">
        <v>18</v>
      </c>
      <c r="B10" s="2">
        <v>0.016</v>
      </c>
      <c r="C10" s="3">
        <f>4 * B10</f>
        <v>0.064</v>
      </c>
      <c r="G10" s="6" t="s">
        <v>19</v>
      </c>
      <c r="H10" s="6"/>
      <c r="I10" s="6"/>
    </row>
    <row r="11">
      <c r="G11" s="7" t="s">
        <v>20</v>
      </c>
      <c r="H11" s="8">
        <v>0.05</v>
      </c>
      <c r="I11" s="8">
        <f t="shared" ref="I11:I12" si="2">H11</f>
        <v>0.05</v>
      </c>
    </row>
    <row r="12">
      <c r="A12" s="2" t="s">
        <v>12</v>
      </c>
      <c r="G12" s="7" t="s">
        <v>21</v>
      </c>
      <c r="H12" s="8">
        <v>0.1</v>
      </c>
      <c r="I12" s="8">
        <f t="shared" si="2"/>
        <v>0.1</v>
      </c>
    </row>
    <row r="13">
      <c r="A13" s="4" t="s">
        <v>22</v>
      </c>
      <c r="B13" s="2">
        <v>0.5</v>
      </c>
      <c r="C13" s="3">
        <f t="shared" ref="C13:C14" si="3">6 * B13</f>
        <v>3</v>
      </c>
      <c r="G13" s="6"/>
      <c r="H13" s="8"/>
      <c r="I13" s="8"/>
    </row>
    <row r="14">
      <c r="A14" s="2" t="s">
        <v>23</v>
      </c>
      <c r="B14" s="2">
        <v>0.03348</v>
      </c>
      <c r="C14" s="3">
        <f t="shared" si="3"/>
        <v>0.20088</v>
      </c>
      <c r="G14" s="2" t="s">
        <v>24</v>
      </c>
    </row>
    <row r="15">
      <c r="G15" s="9" t="s">
        <v>25</v>
      </c>
      <c r="H15" s="8">
        <v>0.004</v>
      </c>
      <c r="I15" s="8">
        <f>H15</f>
        <v>0.004</v>
      </c>
    </row>
    <row r="16">
      <c r="A16" s="2" t="s">
        <v>26</v>
      </c>
      <c r="G16" s="4"/>
    </row>
    <row r="17">
      <c r="A17" s="2" t="s">
        <v>27</v>
      </c>
      <c r="B17" s="2">
        <v>0.09</v>
      </c>
      <c r="C17" s="3">
        <f t="shared" ref="C17:C20" si="4">B17</f>
        <v>0.09</v>
      </c>
      <c r="G17" s="2" t="s">
        <v>26</v>
      </c>
    </row>
    <row r="18">
      <c r="A18" s="2" t="s">
        <v>28</v>
      </c>
      <c r="B18" s="2">
        <v>0.006</v>
      </c>
      <c r="C18" s="3">
        <f t="shared" si="4"/>
        <v>0.006</v>
      </c>
      <c r="G18" s="2" t="s">
        <v>29</v>
      </c>
      <c r="H18" s="2">
        <v>0.0075</v>
      </c>
      <c r="I18" s="3">
        <f t="shared" ref="I18:I19" si="5">H18</f>
        <v>0.0075</v>
      </c>
    </row>
    <row r="19">
      <c r="A19" s="4" t="s">
        <v>30</v>
      </c>
      <c r="B19" s="2">
        <v>0.027</v>
      </c>
      <c r="C19" s="3">
        <f t="shared" si="4"/>
        <v>0.027</v>
      </c>
      <c r="G19" s="6" t="s">
        <v>25</v>
      </c>
      <c r="H19" s="8">
        <v>0.004</v>
      </c>
      <c r="I19" s="8">
        <f t="shared" si="5"/>
        <v>0.004</v>
      </c>
    </row>
    <row r="20">
      <c r="A20" s="2" t="s">
        <v>31</v>
      </c>
      <c r="B20" s="2">
        <v>3.0E-4</v>
      </c>
      <c r="C20" s="3">
        <f t="shared" si="4"/>
        <v>0.0003</v>
      </c>
    </row>
    <row r="21">
      <c r="F21" s="10"/>
    </row>
    <row r="22">
      <c r="A22" s="2" t="s">
        <v>24</v>
      </c>
      <c r="G22" s="2" t="s">
        <v>32</v>
      </c>
      <c r="H22" s="2" t="s">
        <v>33</v>
      </c>
      <c r="I22" s="2" t="s">
        <v>3</v>
      </c>
    </row>
    <row r="23">
      <c r="A23" s="11" t="s">
        <v>34</v>
      </c>
      <c r="B23" s="2">
        <v>0.056</v>
      </c>
      <c r="C23" s="3">
        <f>B23</f>
        <v>0.056</v>
      </c>
      <c r="G23" s="2" t="s">
        <v>35</v>
      </c>
      <c r="H23" s="2">
        <v>1.0</v>
      </c>
      <c r="I23" s="2">
        <v>1.43529</v>
      </c>
    </row>
    <row r="24">
      <c r="G24" s="2" t="s">
        <v>36</v>
      </c>
      <c r="H24" s="2">
        <v>1.0</v>
      </c>
      <c r="I24" s="2">
        <v>0.089</v>
      </c>
    </row>
    <row r="25">
      <c r="A25" s="2" t="s">
        <v>19</v>
      </c>
      <c r="G25" s="2" t="s">
        <v>27</v>
      </c>
      <c r="H25" s="2">
        <v>3.0</v>
      </c>
      <c r="I25" s="2">
        <v>0.09</v>
      </c>
    </row>
    <row r="26">
      <c r="A26" s="2" t="s">
        <v>37</v>
      </c>
      <c r="B26" s="2">
        <v>0.005</v>
      </c>
      <c r="C26" s="3">
        <f>4 * B26</f>
        <v>0.02</v>
      </c>
      <c r="G26" s="11" t="s">
        <v>34</v>
      </c>
      <c r="H26" s="2">
        <v>1.0</v>
      </c>
      <c r="I26" s="2">
        <v>0.056</v>
      </c>
    </row>
    <row r="27">
      <c r="A27" s="2" t="s">
        <v>38</v>
      </c>
      <c r="B27" s="2">
        <v>0.046</v>
      </c>
      <c r="C27" s="3">
        <f t="shared" ref="C27:C29" si="6">B27</f>
        <v>0.046</v>
      </c>
      <c r="G27" s="4" t="s">
        <v>30</v>
      </c>
      <c r="H27" s="2">
        <v>1.0</v>
      </c>
      <c r="I27" s="2">
        <v>0.027</v>
      </c>
    </row>
    <row r="28">
      <c r="A28" s="2" t="s">
        <v>39</v>
      </c>
      <c r="B28" s="2">
        <v>0.075</v>
      </c>
      <c r="C28" s="3">
        <f t="shared" si="6"/>
        <v>0.075</v>
      </c>
      <c r="I28" s="3">
        <f>sum(I23:I27)</f>
        <v>1.69729</v>
      </c>
    </row>
    <row r="29">
      <c r="A29" s="2" t="s">
        <v>40</v>
      </c>
      <c r="B29" s="2">
        <v>0.04</v>
      </c>
      <c r="C29" s="3">
        <f t="shared" si="6"/>
        <v>0.04</v>
      </c>
    </row>
    <row r="31">
      <c r="A31" s="12" t="s">
        <v>41</v>
      </c>
    </row>
    <row r="32">
      <c r="A32" s="13" t="s">
        <v>42</v>
      </c>
    </row>
    <row r="33">
      <c r="A33" s="14" t="s">
        <v>41</v>
      </c>
    </row>
    <row r="36">
      <c r="A36" s="15" t="s">
        <v>43</v>
      </c>
      <c r="B36" s="16" t="s">
        <v>3</v>
      </c>
    </row>
    <row r="37">
      <c r="A37" s="2" t="s">
        <v>44</v>
      </c>
      <c r="B37" s="2">
        <v>1.4352</v>
      </c>
    </row>
    <row r="38">
      <c r="A38" s="4" t="s">
        <v>45</v>
      </c>
      <c r="B38" s="2">
        <v>1.69729</v>
      </c>
      <c r="E38" s="4"/>
    </row>
  </sheetData>
  <mergeCells count="2">
    <mergeCell ref="A1:C1"/>
    <mergeCell ref="G1:I1"/>
  </mergeCells>
  <drawing r:id="rId1"/>
</worksheet>
</file>