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<sst xmlns="http://schemas.openxmlformats.org/spreadsheetml/2006/main" count="62" uniqueCount="54">
  <si>
    <t>Power Budget - ROV</t>
  </si>
  <si>
    <t>Total Power (W):</t>
  </si>
  <si>
    <t>Subsystem</t>
  </si>
  <si>
    <t>Number</t>
  </si>
  <si>
    <t>Voltage (V)</t>
  </si>
  <si>
    <t>Current (A)</t>
  </si>
  <si>
    <t>Power (W)</t>
  </si>
  <si>
    <t>Power w/ 10% Margin:</t>
  </si>
  <si>
    <t>Thrusters</t>
  </si>
  <si>
    <t>Power Supply (V):</t>
  </si>
  <si>
    <t>Hobby Servo</t>
  </si>
  <si>
    <t>Tether Current (A):</t>
  </si>
  <si>
    <t>Raspberry Pi 5</t>
  </si>
  <si>
    <t>The current draw of the Raspberry Pi will spike around 3.3A (~16.5W) during startup and heavy computation such as starting the OS, otherwise the power draw should be 12W (video streaming, etc.) and 6W at idle. Power will be supplied via GPIO from the navigator board</t>
  </si>
  <si>
    <t>BlueRobotics Navigator Flight Controller</t>
  </si>
  <si>
    <t>Acts as power entry point. Logic draw only. The supply connected to the power input would be 5V 6A</t>
  </si>
  <si>
    <t>ArduCam 4k</t>
  </si>
  <si>
    <t>This is the ArduCam 4K, for use in the photogrammetry task, also powered by USB, this power draw will only be present when the camera is in use.</t>
  </si>
  <si>
    <t>Brio 100</t>
  </si>
  <si>
    <t>This is the BRIO 100, the streaming webcam which will be powered by the USB port on the RaspPi</t>
  </si>
  <si>
    <t>Pressure/Depth Sensor</t>
  </si>
  <si>
    <t>Lights</t>
  </si>
  <si>
    <t>Total Power from Competition: 1440W</t>
  </si>
  <si>
    <t>Power Budget - FLOAT</t>
  </si>
  <si>
    <t>Power w/ 30% Margin:</t>
  </si>
  <si>
    <t>Ultrasonic Sensor</t>
  </si>
  <si>
    <t>Total Current (A):</t>
  </si>
  <si>
    <t>Pico W</t>
  </si>
  <si>
    <t>Can be run at 3.3V as well if needed, would need to test stabilitity, etc.</t>
  </si>
  <si>
    <t>Buoyancy Engine</t>
  </si>
  <si>
    <t>Total Power from Competition: 60W</t>
  </si>
  <si>
    <t>Heating Pad</t>
  </si>
  <si>
    <t>Component</t>
  </si>
  <si>
    <t>Link</t>
  </si>
  <si>
    <t>Littelfuse 25A</t>
  </si>
  <si>
    <t>https://www.digikey.com/en/products/detail/littelfuse-inc/0895025.U/F4345-ND/3305707</t>
  </si>
  <si>
    <t>Fuse Holder</t>
  </si>
  <si>
    <t>https://www.digikey.com/en/products/detail/littelfuse-inc/HLJC1001G/F6110-ND/3427070</t>
  </si>
  <si>
    <t>Tether</t>
  </si>
  <si>
    <t>https://bluerobotics.com/store/cables-connectors/cables/fathom-rov-tether-by-the-meter/</t>
  </si>
  <si>
    <t>Power Cable</t>
  </si>
  <si>
    <t>https://www.amazon.com/Oxygen-Free-Insulated-Electrical-Automotive-Trailer/dp/B0B6HV5TXQ/ref=sr_1_1_sspa?crid=3L63703ONMUWH&amp;dib=eyJ2IjoiMSJ9.ATCuaEDTxVJWnBiScSLgh9jUDsUzeJjhhshtGdwheWy5cBoyTpmOUwVEgkBUpSXKl4RbyGy7OTu0goBSp60Wlc0TN3WrQyvQHCoRVQT6gu0bcm9bq0sn9JJhZJpu3zlVW1-WAS2e6v4jKbfsgwJ98Y7oCZX8nQVTMMXpv-qOzkdKcYU6YK21mWl2LNBI9j0p0R6DD_DEANlbYyHK8gWNXj1Juv_VVKxWU59fwJMl_bY._Mtx0NAYLxzd5fR1rcy1mm-Sl1ZtXaois5C4gLHVsoY&amp;dib_tag=se&amp;keywords=10%2Bawg%2Bmarine%2Bwire%2B30%2Bft&amp;qid=1771999641&amp;sprefix=10%2Bawg%2Bmarine%2Bwire%2B30%2Bft%2Caps%2C132&amp;sr=8-1-spons&amp;sp_csd=d2lkZ2V0TmFtZT1zcF9hdGY&amp;th=1</t>
  </si>
  <si>
    <t>SBS50BLU-BK</t>
  </si>
  <si>
    <t>https://www.digikey.com/en/products/detail/anderson-power-products-inc/SBS50BLU-BK/10650548</t>
  </si>
  <si>
    <t>5V Block</t>
  </si>
  <si>
    <t>https://www.amazon.com/ANMBEST-Terminal-Mounting-Distribution-Amplifier/dp/B0C7PYCZZ4/ref=sr_1_3?crid=3CQQ15IE9N7A8&amp;dib=eyJ2IjoiMSJ9.ev30K9ePMRSrMZuWWfrQU7v2KfH_ECOc5vEwZKNb2hG0DmIcfO3-emdOEeRL7FmF1RedUBiNyl7MYvpPHbKfQiVDKYRj2WXczHCoi96wknPHTWM-GduKQb2AV-99lEnlSjB0rxDf--nhze7Drldc9sJUR0nBDeLhQ7b1lF0yuRsogG7yMz45ciS6s6xIbmPHooycxORkouEKQLavEryvsEKCQEbHBcuGA7h77pxp1qo.gSUOaWzgETUOgwxoVlLuX6qAysrxFZ78T_9pV_ra3hc&amp;dib_tag=se&amp;keywords=power%2Bblock%2Bto%2Bdistribute%2B5V%2Bpower%2Bwires%2B25A&amp;nsdOptOutParam=true&amp;qid=1773855782&amp;sprefix=power%2Bblock%2Bto%2Bdistribute%2B5v%2Bpower%2Bwires%2B25a%2Caps%2C163&amp;sr=8-3&amp;th=1</t>
  </si>
  <si>
    <t>UCB C</t>
  </si>
  <si>
    <t>https://www.amazon.com/11inch-Pigtail-Equipment-Installed-Replacement/dp/B0DLKPWF1G/ref=sr_1_3?crid=S9F9TD9QNNPN&amp;dib=eyJ2IjoiMSJ9.gTA3OAdYBjlRJS0YgK4SKdQzQxii5PckvLLBsz8efQ46vg3-cZrOQsao_fky01Egv4wNr1ImP04CdH_PiIfSt4fXKD3cpgTJblzxI89r5Dv5cKkTQkw52Tcy6p9Kwkp1MPwHAxz5bgHzOB-4d5ztzUxT7z8P5yGaBP-wXf9OirTdFhdMO0GTIs-r5-Sub6ah4Ln3IaHYoepnQOi_xLqrh4rp9IolP4GBVQOuLq75Fd8.9HxedmwDDvEo6lSNNxv-XEKj2KdjdGW-fMGFXvhl86A&amp;dib_tag=se&amp;keywords=usb%2Bc%2Bpower%2Bcable%2Bto%2Bwire%2Bhead&amp;qid=1773856552&amp;sprefix=usb%2Bc%2Bpower%2Bcable%2Bto%2Bwire%2Bhead%2Caps%2C182&amp;sr=8-3&amp;th=1</t>
  </si>
  <si>
    <t>Wagos</t>
  </si>
  <si>
    <t>https://www.amazon.com/Connectors-Avarbuvo-Electrical-Splice-Terminals/dp/B0D8731XH4/ref=bmx_dp_d_sccl_1_2/141-6915545-2564200?pd_rd_w=XAvG3&amp;content-id=amzn1.sym.4e69f312-6a4c-4f90-a482-aeea4027b951&amp;pf_rd_p=4e69f312-6a4c-4f90-a482-aeea4027b951&amp;pf_rd_r=B18MVS825WYXYY2FZ6Q1&amp;pd_rd_wg=JIw16&amp;pd_rd_r=ca379266-e46d-4df9-aa35-66f8d8ed586d&amp;pd_rd_i=B0D8731XH4&amp;th=1</t>
  </si>
  <si>
    <t>Wire</t>
  </si>
  <si>
    <t>https://www.amazon.com/VIABRICO-Extension-Lights-Voltage-Connectors/dp/B0B49TQZHV/ref=sr_1_4?crid=2SAZW4MS6LL66&amp;dib=eyJ2IjoiMSJ9.-5pQES_4g60hWRP5std-zgDNUs2fu3epL66DCSeIxIfwQzLD-nREksQZA8HuGkhvzsOtIP8QOrpbhOAiHXko1jLLKz9PT3tVp57VM0RRdgY-my0dsaGxufAEFUhyyJL8-0JxX_ynQAEiqdQWHiOoN8iLoL2Urn3mh88mDq5ZTbxBKzhtKGRwu_D8pvt6g03mBliTxDVNBZOm_UXd-Uj1N8yr69O3dZ8kph2gC4ok5AB47xd2pHr4CSRzyXHyjnSvSnV86KTOlPEGGgXFK_oPfAswJuZcuGe1TzRTYhbwkLc.dTJXkrbkf_Txwv1_Q0eX23fOrZzbKQ0y0xzusV0ii5k&amp;dib_tag=se&amp;keywords=16AWG%2Bwire&amp;qid=1773856983&amp;s=industrial&amp;sprefix=16awg%2Bwire%2Cindustrial%2C218&amp;sr=1-4&amp;th=1</t>
  </si>
  <si>
    <t>12V Blocks</t>
  </si>
  <si>
    <t>https://www.amazon.com/risingsaplings-Position-Terminal-Distribution-Module/dp/B0DBW6XH66/ref=sr_1_10?crid=2RMFUZS9FA89R&amp;dib=eyJ2IjoiMSJ9.oO755sUpWjztvt_2lc_kkCxCJsXejy0jM9ppSsiSjPIXfabd8OoDe2vR4FQ6LljEa7ffWdBaBh7WWepltftpEcauwcSZGB-J3lbKdB90SmhJA2h8VOzgoaL0OuE96os1U1I7b3TTg-FJ7yT_3E6VMn61anmm-Ru8E2e4bVUpjsHwwpBOC-f_ghbcfX9d1WSlAf8ZQewMJUXPrqpHqk4NGTOHZgmiye1BbevmgYjTJ33XT8unuPmQPH58NpSyAMXBGwIVEg4FnVKU-wRSevxIwaYkRCCSAFuKiaNzezRcI0A.P-AoZnPxb2cEBuQryrNcSE32lJ1mXbYN2TkCTRF9lyo&amp;dib_tag=se&amp;keywords=30a+power+distribution+blocks+2*6+16AWG&amp;qid=1773857529&amp;s=industrial&amp;sprefix=30a+power+distribution+blocks+2+6+16awg%2Cindustrial%2C133&amp;sr=1-10</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</si>
</sst>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000000"/>
      <name val="Arial"/>
      <scheme val="minor"/>
    </font>
    <font/>
    <font>
      <color theme="1"/>
      <name val="Arial"/>
      <scheme val="minor"/>
    </font>
    <font>
      <u/>
      <color rgb="FF0000FF"/>
    </font>
    <font>
      <u/>
      <color rgb="FF0000FF"/>
    </font>
    <font>
      <u/>
      <color rgb="FF0000FF"/>
    </font>
    <font>
      <u/>
      <color rgb="FF0000FF"/>
    </font>
  </fonts>
  <fills count="9">
    <fill>
      <patternFill patternType="none"/>
    </fill>
    <fill>
      <patternFill patternType="lightGray"/>
    </fill>
    <fill>
      <patternFill patternType="solid">
        <fgColor rgb="FFB4A7D6"/>
        <bgColor rgb="FFB4A7D6"/>
      </patternFill>
    </fill>
    <fill>
      <patternFill patternType="solid">
        <fgColor rgb="FFB7B7B7"/>
        <bgColor rgb="FFB7B7B7"/>
      </patternFill>
    </fill>
    <fill>
      <patternFill patternType="solid">
        <fgColor rgb="FFA2C4C9"/>
        <bgColor rgb="FFA2C4C9"/>
      </patternFill>
    </fill>
    <fill>
      <patternFill patternType="solid">
        <fgColor rgb="FFA4C2F4"/>
        <bgColor rgb="FFA4C2F4"/>
      </patternFill>
    </fill>
    <fill>
      <patternFill patternType="solid">
        <fgColor rgb="FFFFE599"/>
        <bgColor rgb="FFFFE599"/>
      </patternFill>
    </fill>
    <fill>
      <patternFill patternType="solid">
        <fgColor rgb="FFF9CB9C"/>
        <bgColor rgb="FFF9CB9C"/>
      </patternFill>
    </fill>
    <fill>
      <patternFill patternType="solid">
        <fgColor rgb="FFEA9999"/>
        <bgColor rgb="FFEA9999"/>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horizontal="left" readingOrder="0" vertical="bottom"/>
    </xf>
    <xf borderId="4" fillId="3" fontId="3" numFmtId="0" xfId="0" applyAlignment="1" applyBorder="1" applyFill="1" applyFont="1">
      <alignment horizontal="center" readingOrder="0" vertical="center"/>
    </xf>
    <xf borderId="4" fillId="0" fontId="3" numFmtId="0" xfId="0" applyAlignment="1" applyBorder="1" applyFont="1">
      <alignment horizontal="center" vertical="center"/>
    </xf>
    <xf borderId="4" fillId="4" fontId="3" numFmtId="0" xfId="0" applyAlignment="1" applyBorder="1" applyFill="1" applyFont="1">
      <alignment horizontal="center" readingOrder="0" vertical="center"/>
    </xf>
    <xf borderId="4" fillId="5" fontId="3" numFmtId="0" xfId="0" applyAlignment="1" applyBorder="1" applyFill="1" applyFont="1">
      <alignment horizontal="center" readingOrder="0" vertical="center"/>
    </xf>
    <xf borderId="4" fillId="6" fontId="3" numFmtId="0" xfId="0" applyAlignment="1" applyBorder="1" applyFill="1" applyFont="1">
      <alignment horizontal="center" readingOrder="0" vertical="center"/>
    </xf>
    <xf borderId="4" fillId="7" fontId="3" numFmtId="0" xfId="0" applyAlignment="1" applyBorder="1" applyFill="1" applyFont="1">
      <alignment horizontal="center" readingOrder="0" vertical="center"/>
    </xf>
    <xf borderId="4" fillId="8" fontId="3" numFmtId="0" xfId="0" applyAlignment="1" applyBorder="1" applyFill="1" applyFont="1">
      <alignment horizontal="center" readingOrder="0" vertical="center"/>
    </xf>
    <xf borderId="4" fillId="0" fontId="3" numFmtId="0" xfId="0" applyAlignment="1" applyBorder="1" applyFont="1">
      <alignment horizontal="center" readingOrder="0" vertical="center"/>
    </xf>
    <xf borderId="0" fillId="0" fontId="3" numFmtId="0" xfId="0" applyAlignment="1" applyFont="1">
      <alignment horizontal="left" vertical="bottom"/>
    </xf>
    <xf borderId="4" fillId="8" fontId="1" numFmtId="0" xfId="0" applyAlignment="1" applyBorder="1" applyFont="1">
      <alignment horizontal="center" readingOrder="0" vertical="center"/>
    </xf>
    <xf borderId="4" fillId="8" fontId="3" numFmtId="0" xfId="0" applyAlignment="1" applyBorder="1" applyFont="1">
      <alignment horizontal="center" vertical="center"/>
    </xf>
    <xf borderId="0" fillId="0" fontId="3" numFmtId="0" xfId="0" applyAlignment="1" applyFont="1">
      <alignment readingOrder="0"/>
    </xf>
    <xf borderId="1" fillId="2" fontId="3" numFmtId="0" xfId="0" applyAlignment="1" applyBorder="1" applyFont="1">
      <alignment horizontal="center" readingOrder="0" vertical="center"/>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shrinkToFit="0" wrapText="1"/>
    </xf>
    <xf borderId="0" fillId="0" fontId="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digikey.com/en/products/detail/littelfuse-inc/0895025.U/F4345-ND/3305707" TargetMode="External"/><Relationship Id="rId2" Type="http://schemas.openxmlformats.org/officeDocument/2006/relationships/hyperlink" Target="https://www.digikey.com/en/products/detail/littelfuse-inc/HLJC1001G/F6110-ND/3427070" TargetMode="External"/><Relationship Id="rId3" Type="http://schemas.openxmlformats.org/officeDocument/2006/relationships/hyperlink" Target="https://bluerobotics.com/store/cables-connectors/cables/fathom-rov-tether-by-the-meter/" TargetMode="External"/><Relationship Id="rId4" Type="http://schemas.openxmlformats.org/officeDocument/2006/relationships/hyperlink" Target="https://www.amazon.com/Oxygen-Free-Insulated-Electrical-Automotive-Trailer/dp/B0B6HV5TXQ/ref=sr_1_1_sspa?crid=3L63703ONMUWH&amp;dib=eyJ2IjoiMSJ9.ATCuaEDTxVJWnBiScSLgh9jUDsUzeJjhhshtGdwheWy5cBoyTpmOUwVEgkBUpSXKl4RbyGy7OTu0goBSp60Wlc0TN3WrQyvQHCoRVQT6gu0bcm9bq0sn9JJhZJpu3zlVW1-WAS2e6v4jKbfsgwJ98Y7oCZX8nQVTMMXpv-qOzkdKcYU6YK21mWl2LNBI9j0p0R6DD_DEANlbYyHK8gWNXj1Juv_VVKxWU59fwJMl_bY._Mtx0NAYLxzd5fR1rcy1mm-Sl1ZtXaois5C4gLHVsoY&amp;dib_tag=se&amp;keywords=10%2Bawg%2Bmarine%2Bwire%2B30%2Bft&amp;qid=1771999641&amp;sprefix=10%2Bawg%2Bmarine%2Bwire%2B30%2Bft%2Caps%2C132&amp;sr=8-1-spons&amp;sp_csd=d2lkZ2V0TmFtZT1zcF9hdGY&amp;th=1" TargetMode="External"/><Relationship Id="rId11" Type="http://schemas.openxmlformats.org/officeDocument/2006/relationships/drawing" Target="../drawings/drawing2.xml"/><Relationship Id="rId10" Type="http://schemas.openxmlformats.org/officeDocument/2006/relationships/hyperlink" Target="https://www.amazon.com/risingsaplings-Position-Terminal-Distribution-Module/dp/B0DBW6XH66/ref=sr_1_10?crid=2RMFUZS9FA89R&amp;dib=eyJ2IjoiMSJ9.oO755sUpWjztvt_2lc_kkCxCJsXejy0jM9ppSsiSjPIXfabd8OoDe2vR4FQ6LljEa7ffWdBaBh7WWepltftpEcauwcSZGB-J3lbKdB90SmhJA2h8VOzgoaL0OuE96os1U1I7b3TTg-FJ7yT_3E6VMn61anmm-Ru8E2e4bVUpjsHwwpBOC-f_ghbcfX9d1WSlAf8ZQewMJUXPrqpHqk4NGTOHZgmiye1BbevmgYjTJ33XT8unuPmQPH58NpSyAMXBGwIVEg4FnVKU-wRSevxIwaYkRCCSAFuKiaNzezRcI0A.P-AoZnPxb2cEBuQryrNcSE32lJ1mXbYN2TkCTRF9lyo&amp;dib_tag=se&amp;keywords=30a+power+distribution+blocks+2*6+16AWG&amp;qid=1773857529&amp;s=industrial&amp;sprefix=30a+power+distribution+blocks+2+6+16awg%2Cindustrial%2C133&amp;sr=1-10" TargetMode="External"/><Relationship Id="rId9" Type="http://schemas.openxmlformats.org/officeDocument/2006/relationships/hyperlink" Target="https://www.amazon.com/VIABRICO-Extension-Lights-Voltage-Connectors/dp/B0B49TQZHV/ref=sr_1_4?crid=2SAZW4MS6LL66&amp;dib=eyJ2IjoiMSJ9.-5pQES_4g60hWRP5std-zgDNUs2fu3epL66DCSeIxIfwQzLD-nREksQZA8HuGkhvzsOtIP8QOrpbhOAiHXko1jLLKz9PT3tVp57VM0RRdgY-my0dsaGxufAEFUhyyJL8-0JxX_ynQAEiqdQWHiOoN8iLoL2Urn3mh88mDq5ZTbxBKzhtKGRwu_D8pvt6g03mBliTxDVNBZOm_UXd-Uj1N8yr69O3dZ8kph2gC4ok5AB47xd2pHr4CSRzyXHyjnSvSnV86KTOlPEGGgXFK_oPfAswJuZcuGe1TzRTYhbwkLc.dTJXkrbkf_Txwv1_Q0eX23fOrZzbKQ0y0xzusV0ii5k&amp;dib_tag=se&amp;keywords=16AWG%2Bwire&amp;qid=1773856983&amp;s=industrial&amp;sprefix=16awg%2Bwire%2Cindustrial%2C218&amp;sr=1-4&amp;th=1" TargetMode="External"/><Relationship Id="rId5" Type="http://schemas.openxmlformats.org/officeDocument/2006/relationships/hyperlink" Target="https://www.digikey.com/en/products/detail/anderson-power-products-inc/SBS50BLU-BK/10650548" TargetMode="External"/><Relationship Id="rId6" Type="http://schemas.openxmlformats.org/officeDocument/2006/relationships/hyperlink" Target="https://www.amazon.com/ANMBEST-Terminal-Mounting-Distribution-Amplifier/dp/B0C7PYCZZ4/ref=sr_1_3?crid=3CQQ15IE9N7A8&amp;dib=eyJ2IjoiMSJ9.ev30K9ePMRSrMZuWWfrQU7v2KfH_ECOc5vEwZKNb2hG0DmIcfO3-emdOEeRL7FmF1RedUBiNyl7MYvpPHbKfQiVDKYRj2WXczHCoi96wknPHTWM-GduKQb2AV-99lEnlSjB0rxDf--nhze7Drldc9sJUR0nBDeLhQ7b1lF0yuRsogG7yMz45ciS6s6xIbmPHooycxORkouEKQLavEryvsEKCQEbHBcuGA7h77pxp1qo.gSUOaWzgETUOgwxoVlLuX6qAysrxFZ78T_9pV_ra3hc&amp;dib_tag=se&amp;keywords=power%2Bblock%2Bto%2Bdistribute%2B5V%2Bpower%2Bwires%2B25A&amp;nsdOptOutParam=true&amp;qid=1773855782&amp;sprefix=power%2Bblock%2Bto%2Bdistribute%2B5v%2Bpower%2Bwires%2B25a%2Caps%2C163&amp;sr=8-3&amp;th=1" TargetMode="External"/><Relationship Id="rId7" Type="http://schemas.openxmlformats.org/officeDocument/2006/relationships/hyperlink" Target="https://www.amazon.com/11inch-Pigtail-Equipment-Installed-Replacement/dp/B0DLKPWF1G/ref=sr_1_3?crid=S9F9TD9QNNPN&amp;dib=eyJ2IjoiMSJ9.gTA3OAdYBjlRJS0YgK4SKdQzQxii5PckvLLBsz8efQ46vg3-cZrOQsao_fky01Egv4wNr1ImP04CdH_PiIfSt4fXKD3cpgTJblzxI89r5Dv5cKkTQkw52Tcy6p9Kwkp1MPwHAxz5bgHzOB-4d5ztzUxT7z8P5yGaBP-wXf9OirTdFhdMO0GTIs-r5-Sub6ah4Ln3IaHYoepnQOi_xLqrh4rp9IolP4GBVQOuLq75Fd8.9HxedmwDDvEo6lSNNxv-XEKj2KdjdGW-fMGFXvhl86A&amp;dib_tag=se&amp;keywords=usb%2Bc%2Bpower%2Bcable%2Bto%2Bwire%2Bhead&amp;qid=1773856552&amp;sprefix=usb%2Bc%2Bpower%2Bcable%2Bto%2Bwire%2Bhead%2Caps%2C182&amp;sr=8-3&amp;th=1" TargetMode="External"/><Relationship Id="rId8" Type="http://schemas.openxmlformats.org/officeDocument/2006/relationships/hyperlink" Target="https://www.amazon.com/Connectors-Avarbuvo-Electrical-Splice-Terminals/dp/B0D8731XH4/ref=bmx_dp_d_sccl_1_2/141-6915545-2564200?pd_rd_w=XAvG3&amp;content-id=amzn1.sym.4e69f312-6a4c-4f90-a482-aeea4027b951&amp;pf_rd_p=4e69f312-6a4c-4f90-a482-aeea4027b951&amp;pf_rd_r=B18MVS825WYXYY2FZ6Q1&amp;pd_rd_wg=JIw16&amp;pd_rd_r=ca379266-e46d-4df9-aa35-66f8d8ed586d&amp;pd_rd_i=B0D8731XH4&amp;th=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63"/>
    <col customWidth="1" min="7" max="7" width="17.63"/>
  </cols>
  <sheetData>
    <row r="1">
      <c r="A1" s="1" t="s">
        <v>0</v>
      </c>
      <c r="B1" s="2"/>
      <c r="C1" s="2"/>
      <c r="D1" s="2"/>
      <c r="E1" s="3"/>
      <c r="F1" s="4"/>
      <c r="G1" s="5" t="s">
        <v>1</v>
      </c>
      <c r="H1" s="6">
        <f>SUM(E3:E10)</f>
        <v>784.855</v>
      </c>
    </row>
    <row r="2">
      <c r="A2" s="7" t="s">
        <v>2</v>
      </c>
      <c r="B2" s="8" t="s">
        <v>3</v>
      </c>
      <c r="C2" s="9" t="s">
        <v>4</v>
      </c>
      <c r="D2" s="10" t="s">
        <v>5</v>
      </c>
      <c r="E2" s="11" t="s">
        <v>6</v>
      </c>
      <c r="F2" s="4"/>
      <c r="G2" s="5" t="s">
        <v>7</v>
      </c>
      <c r="H2" s="6">
        <f>H1*1.1</f>
        <v>863.3405</v>
      </c>
    </row>
    <row r="3">
      <c r="A3" s="12" t="s">
        <v>8</v>
      </c>
      <c r="B3" s="12">
        <v>8.0</v>
      </c>
      <c r="C3" s="12">
        <v>12.0</v>
      </c>
      <c r="D3" s="12">
        <v>13.0</v>
      </c>
      <c r="E3" s="6">
        <f>B3*C3*D3*(1/2)</f>
        <v>624</v>
      </c>
      <c r="F3" s="13"/>
      <c r="G3" s="5" t="s">
        <v>9</v>
      </c>
      <c r="H3" s="12">
        <v>48.0</v>
      </c>
    </row>
    <row r="4">
      <c r="A4" s="12" t="s">
        <v>10</v>
      </c>
      <c r="B4" s="12">
        <v>4.0</v>
      </c>
      <c r="C4" s="12">
        <v>5.0</v>
      </c>
      <c r="D4" s="12">
        <v>5.0</v>
      </c>
      <c r="E4" s="6">
        <f t="shared" ref="E4:E10" si="1">B4*C4*D4</f>
        <v>100</v>
      </c>
      <c r="F4" s="13"/>
      <c r="G4" s="5" t="s">
        <v>11</v>
      </c>
      <c r="H4" s="6">
        <f>H1/H3</f>
        <v>16.35114583</v>
      </c>
    </row>
    <row r="5">
      <c r="A5" s="12" t="s">
        <v>12</v>
      </c>
      <c r="B5" s="12">
        <v>1.0</v>
      </c>
      <c r="C5" s="12">
        <v>5.0</v>
      </c>
      <c r="D5" s="12">
        <v>3.3</v>
      </c>
      <c r="E5" s="6">
        <f t="shared" si="1"/>
        <v>16.5</v>
      </c>
      <c r="F5" s="4" t="s">
        <v>13</v>
      </c>
    </row>
    <row r="6">
      <c r="A6" s="12" t="s">
        <v>14</v>
      </c>
      <c r="B6" s="12">
        <v>1.0</v>
      </c>
      <c r="C6" s="12">
        <v>5.0</v>
      </c>
      <c r="D6" s="12">
        <v>0.2</v>
      </c>
      <c r="E6" s="6">
        <f t="shared" si="1"/>
        <v>1</v>
      </c>
      <c r="F6" s="4" t="s">
        <v>15</v>
      </c>
    </row>
    <row r="7">
      <c r="A7" s="14" t="s">
        <v>16</v>
      </c>
      <c r="B7" s="14">
        <v>1.0</v>
      </c>
      <c r="C7" s="14">
        <v>5.0</v>
      </c>
      <c r="D7" s="14">
        <v>0.35</v>
      </c>
      <c r="E7" s="15">
        <f t="shared" si="1"/>
        <v>1.75</v>
      </c>
      <c r="F7" s="4" t="s">
        <v>17</v>
      </c>
    </row>
    <row r="8">
      <c r="A8" s="14" t="s">
        <v>18</v>
      </c>
      <c r="B8" s="14">
        <v>1.0</v>
      </c>
      <c r="C8" s="14">
        <v>5.0</v>
      </c>
      <c r="D8" s="14">
        <v>0.35</v>
      </c>
      <c r="E8" s="15">
        <f t="shared" si="1"/>
        <v>1.75</v>
      </c>
      <c r="F8" s="4" t="s">
        <v>19</v>
      </c>
    </row>
    <row r="9">
      <c r="A9" s="12" t="s">
        <v>20</v>
      </c>
      <c r="B9" s="12">
        <v>1.0</v>
      </c>
      <c r="C9" s="12">
        <v>5.0</v>
      </c>
      <c r="D9" s="12">
        <v>0.003</v>
      </c>
      <c r="E9" s="6">
        <f t="shared" si="1"/>
        <v>0.015</v>
      </c>
      <c r="F9" s="13"/>
    </row>
    <row r="10">
      <c r="A10" s="12" t="s">
        <v>21</v>
      </c>
      <c r="B10" s="12">
        <v>4.0</v>
      </c>
      <c r="C10" s="12">
        <v>12.0</v>
      </c>
      <c r="D10" s="12">
        <v>0.83</v>
      </c>
      <c r="E10" s="6">
        <f t="shared" si="1"/>
        <v>39.84</v>
      </c>
      <c r="F10" s="13">
        <f>sum(E4:E6)</f>
        <v>117.5</v>
      </c>
      <c r="G10" s="16" t="s">
        <v>22</v>
      </c>
    </row>
    <row r="11">
      <c r="F11" s="13"/>
    </row>
    <row r="13">
      <c r="A13" s="17" t="s">
        <v>23</v>
      </c>
      <c r="B13" s="2"/>
      <c r="C13" s="2"/>
      <c r="D13" s="2"/>
      <c r="E13" s="3"/>
      <c r="G13" s="5" t="s">
        <v>1</v>
      </c>
      <c r="H13" s="6">
        <f>SUM(E14:E18)</f>
        <v>14.565</v>
      </c>
    </row>
    <row r="14">
      <c r="A14" s="7" t="s">
        <v>2</v>
      </c>
      <c r="B14" s="8" t="s">
        <v>3</v>
      </c>
      <c r="C14" s="9" t="s">
        <v>4</v>
      </c>
      <c r="D14" s="10" t="s">
        <v>5</v>
      </c>
      <c r="E14" s="11" t="s">
        <v>6</v>
      </c>
      <c r="G14" s="5" t="s">
        <v>24</v>
      </c>
      <c r="H14" s="6">
        <f>H13*1.3</f>
        <v>18.9345</v>
      </c>
    </row>
    <row r="15">
      <c r="A15" s="12" t="s">
        <v>25</v>
      </c>
      <c r="B15" s="12">
        <v>1.0</v>
      </c>
      <c r="C15" s="12">
        <v>5.0</v>
      </c>
      <c r="D15" s="12">
        <v>0.01</v>
      </c>
      <c r="E15" s="6">
        <f t="shared" ref="E15:E19" si="2">B15*C15*D15</f>
        <v>0.05</v>
      </c>
      <c r="G15" s="5" t="s">
        <v>9</v>
      </c>
      <c r="H15" s="12">
        <v>12.0</v>
      </c>
    </row>
    <row r="16">
      <c r="A16" s="12" t="s">
        <v>20</v>
      </c>
      <c r="B16" s="12">
        <v>1.0</v>
      </c>
      <c r="C16" s="12">
        <v>5.0</v>
      </c>
      <c r="D16" s="12">
        <v>0.003</v>
      </c>
      <c r="E16" s="6">
        <f t="shared" si="2"/>
        <v>0.015</v>
      </c>
      <c r="G16" s="5" t="s">
        <v>26</v>
      </c>
      <c r="H16" s="6">
        <f>H13/H15</f>
        <v>1.21375</v>
      </c>
    </row>
    <row r="17">
      <c r="A17" s="12" t="s">
        <v>27</v>
      </c>
      <c r="B17" s="12">
        <v>1.0</v>
      </c>
      <c r="C17" s="12">
        <v>5.0</v>
      </c>
      <c r="D17" s="12">
        <v>0.5</v>
      </c>
      <c r="E17" s="6">
        <f t="shared" si="2"/>
        <v>2.5</v>
      </c>
      <c r="F17" s="16" t="s">
        <v>28</v>
      </c>
    </row>
    <row r="18">
      <c r="A18" s="12" t="s">
        <v>29</v>
      </c>
      <c r="B18" s="12">
        <v>1.0</v>
      </c>
      <c r="C18" s="12">
        <v>12.0</v>
      </c>
      <c r="D18" s="12">
        <v>1.0</v>
      </c>
      <c r="E18" s="6">
        <f t="shared" si="2"/>
        <v>12</v>
      </c>
      <c r="G18" s="16" t="s">
        <v>30</v>
      </c>
    </row>
    <row r="19">
      <c r="A19" s="12" t="s">
        <v>31</v>
      </c>
      <c r="B19" s="12">
        <v>1.0</v>
      </c>
      <c r="C19" s="12">
        <v>12.0</v>
      </c>
      <c r="D19" s="12">
        <v>0.42</v>
      </c>
      <c r="E19" s="6">
        <f t="shared" si="2"/>
        <v>5.04</v>
      </c>
    </row>
    <row r="20">
      <c r="A20" s="18"/>
    </row>
  </sheetData>
  <mergeCells count="2">
    <mergeCell ref="A1:E1"/>
    <mergeCell ref="A13:E13"/>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74.0"/>
  </cols>
  <sheetData>
    <row r="1">
      <c r="A1" s="16" t="s">
        <v>32</v>
      </c>
      <c r="B1" s="16" t="s">
        <v>33</v>
      </c>
    </row>
    <row r="2">
      <c r="A2" s="16" t="s">
        <v>34</v>
      </c>
      <c r="B2" s="19" t="s">
        <v>35</v>
      </c>
    </row>
    <row r="3">
      <c r="A3" s="16" t="s">
        <v>36</v>
      </c>
      <c r="B3" s="20" t="s">
        <v>37</v>
      </c>
    </row>
    <row r="4">
      <c r="A4" s="16" t="s">
        <v>38</v>
      </c>
      <c r="B4" s="19" t="s">
        <v>39</v>
      </c>
    </row>
    <row r="5">
      <c r="A5" s="16" t="s">
        <v>40</v>
      </c>
      <c r="B5" s="21" t="s">
        <v>41</v>
      </c>
    </row>
    <row r="6">
      <c r="A6" s="16" t="s">
        <v>42</v>
      </c>
      <c r="B6" s="19" t="s">
        <v>43</v>
      </c>
    </row>
    <row r="7">
      <c r="A7" s="16" t="s">
        <v>44</v>
      </c>
      <c r="B7" s="22" t="s">
        <v>45</v>
      </c>
    </row>
    <row r="8">
      <c r="A8" s="16" t="s">
        <v>46</v>
      </c>
      <c r="B8" s="21" t="s">
        <v>47</v>
      </c>
    </row>
    <row r="9">
      <c r="A9" s="16" t="s">
        <v>48</v>
      </c>
      <c r="B9" s="22" t="s">
        <v>49</v>
      </c>
    </row>
    <row r="10">
      <c r="A10" s="16" t="s">
        <v>50</v>
      </c>
      <c r="B10" s="22" t="s">
        <v>51</v>
      </c>
    </row>
    <row r="11">
      <c r="A11" s="16" t="s">
        <v>52</v>
      </c>
      <c r="B11" s="22" t="s">
        <v>53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