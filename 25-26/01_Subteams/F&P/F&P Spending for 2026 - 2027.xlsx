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<sst xmlns="http://schemas.openxmlformats.org/spreadsheetml/2006/main" count="29" uniqueCount="22">
  <si>
    <t>Item Purchased for F&amp;P</t>
  </si>
  <si>
    <t>Raw Cost</t>
  </si>
  <si>
    <t>Taxes</t>
  </si>
  <si>
    <t>Shipping Fees</t>
  </si>
  <si>
    <t>Total</t>
  </si>
  <si>
    <t>Website</t>
  </si>
  <si>
    <t>4 CW Thrusters</t>
  </si>
  <si>
    <t>CW Thrusters Website</t>
  </si>
  <si>
    <t>4 CWW Thrusters</t>
  </si>
  <si>
    <t>CCW Thrusters Website</t>
  </si>
  <si>
    <t>Peristaltic Pump (Ballast System)</t>
  </si>
  <si>
    <t>Pump Website</t>
  </si>
  <si>
    <t>Vinyl Tubing for Pump</t>
  </si>
  <si>
    <t>N/A</t>
  </si>
  <si>
    <t>IV bag/bladder</t>
  </si>
  <si>
    <t>M4 Screws, Nuts &amp; Washers</t>
  </si>
  <si>
    <t>Screws, Nuts, &amp; Washers Website</t>
  </si>
  <si>
    <t xml:space="preserve">Heat-Set Threaded Inserts (100 pc) </t>
  </si>
  <si>
    <t>Heated Insert Threads</t>
  </si>
  <si>
    <t xml:space="preserve">2x SS Clamp </t>
  </si>
  <si>
    <t xml:space="preserve">1 Lighter </t>
  </si>
  <si>
    <t>Total Amount Spent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</si>
</sst>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IAMONDDYNAMICS-Underwater-bi-Directional-Photography-Exploration/dp/B09BVKB3KD" TargetMode="External"/><Relationship Id="rId2" Type="http://schemas.openxmlformats.org/officeDocument/2006/relationships/hyperlink" Target="https://www.amazon.com/DIAMONDDYNAMICS-Underwater-bi-Directional-Photography-Exploration/dp/B09BVKB3KD" TargetMode="External"/><Relationship Id="rId3" Type="http://schemas.openxmlformats.org/officeDocument/2006/relationships/hyperlink" Target="https://www.amazon.com/Peristaltic-brushless-Adjustable-Liquid-KPHM600/dp/B09PDS7Z51?ref_" TargetMode="External"/><Relationship Id="rId4" Type="http://schemas.openxmlformats.org/officeDocument/2006/relationships/hyperlink" Target="https://www.amazon.com/Fgruh-Washers-Assortment-Stainless-Printer/dp/B0FG2D92BV/ref=sr_1_1_sspa?crid=2YEHDYAMFZWQT&amp;dib=eyJ2IjoiMSJ9.ASU48-LPd6PhHedDxTR13VPTC9YFMb5ZJhAvsuTe_vARqRLs5Tk5UwTSBZZ3HVBUCLBY89aW5uOUCqEBV3zV3qDGKKUJnGevyNweqA8DBBTv7LcdZ9RLGkzR3N7uWn5vBOFUWO__nlCJo3NC6QsgCWQKYz-FP-P_6e2D2C_NbYmDXBmnLlFmTCwKTBHMAF3w9GAg5BbPChuQtUIq0LYB5wmbQoSsEhmFDNsztw3wdFLHTcQDGSi--zOO2T_djjoI0fxCrAr6FavKvoAOdMw9w0ZAICibrF98gIJj5Jkaf_8.elkRCZfKZK1BK_Cnjy3LZ-DadiiNffbkhKYNpbXOLTs&amp;dib_tag=se&amp;keywords=M4%2Bscrews&amp;qid=1772422230&amp;s=industrial&amp;sprefix=m%2Bscrews%2Cindustrial%2C104&amp;sr=1-1-spons&amp;sp_csd=d2lkZ2V0TmFtZT1zcF9hdGY&amp;th=1" TargetMode="External"/><Relationship Id="rId5" Type="http://schemas.openxmlformats.org/officeDocument/2006/relationships/hyperlink" Target="https://www.amazon.com/HANGLIFE-Heat-Set-Threaded-Printing-Components/dp/B0CS6XGMFD/ref=sr_1_3?crid=3A9NTRLGW80RK&amp;dib=eyJ2IjoiMSJ9.REOFCxu_MECBCNRcItGnjwEuBzuCaRipkTTF0LgnUS1AloCKSTqOHMy0cg-_S-wjzsdYLT575qdhtwcedxH2Uedc2C_ZaDydwjkkIhUJ33rxCNzxrmeOJMUUvukSHwskjvY2Iv4scPuEbLGo8B_F32lsayaDZVWabJzTbOzYA9WbwijdtrPJesQHCXWE0frrREQoddYgeckw5huRxWm7R2m16w4KA_PBbeoleABLJj0.GeNJHzWbgI0HgVSeYGqtKoroUsb4htKoLjQwp_iORBs&amp;dib_tag=se&amp;keywords=heat-set%2Bthreaded%2Binserts%2Bm4%2B(100%2Bpc)&amp;qid=1776985494&amp;sprefix=heat-set%2Bthreaded%2Binserts%2Bm4%2B100%2Bpc%2B%2Caps%2C232&amp;sr=8-3&amp;th=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6" max="6" width="2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256.0</v>
      </c>
      <c r="C2" s="5">
        <v>21.68</v>
      </c>
      <c r="D2" s="5">
        <v>6.99</v>
      </c>
      <c r="E2" s="4">
        <f t="shared" ref="E2:E10" si="1">SUM(B2:D2)</f>
        <v>284.67</v>
      </c>
      <c r="F2" s="6" t="s">
        <v>7</v>
      </c>
    </row>
    <row r="3">
      <c r="A3" s="3" t="s">
        <v>8</v>
      </c>
      <c r="B3" s="4">
        <v>256.0</v>
      </c>
      <c r="C3" s="5">
        <v>21.68</v>
      </c>
      <c r="D3" s="5">
        <v>6.99</v>
      </c>
      <c r="E3" s="4">
        <f t="shared" si="1"/>
        <v>284.67</v>
      </c>
      <c r="F3" s="6" t="s">
        <v>9</v>
      </c>
    </row>
    <row r="4">
      <c r="A4" s="3" t="s">
        <v>10</v>
      </c>
      <c r="B4" s="4">
        <v>59.85</v>
      </c>
      <c r="C4" s="5">
        <v>5.52</v>
      </c>
      <c r="D4" s="5">
        <v>6.99</v>
      </c>
      <c r="E4" s="4">
        <f t="shared" si="1"/>
        <v>72.36</v>
      </c>
      <c r="F4" s="6" t="s">
        <v>11</v>
      </c>
    </row>
    <row r="5">
      <c r="A5" s="3" t="s">
        <v>12</v>
      </c>
      <c r="B5" s="4">
        <v>4.31</v>
      </c>
      <c r="C5" s="4">
        <f>B5*0.08</f>
        <v>0.3448</v>
      </c>
      <c r="D5" s="5" t="s">
        <v>13</v>
      </c>
      <c r="E5" s="4">
        <f t="shared" si="1"/>
        <v>4.6548</v>
      </c>
      <c r="F5" s="2" t="s">
        <v>13</v>
      </c>
    </row>
    <row r="6">
      <c r="A6" s="3" t="s">
        <v>14</v>
      </c>
      <c r="B6" s="4">
        <v>20.0</v>
      </c>
      <c r="C6" s="4">
        <f>0.08</f>
        <v>0.08</v>
      </c>
      <c r="D6" s="5" t="s">
        <v>13</v>
      </c>
      <c r="E6" s="4">
        <f t="shared" si="1"/>
        <v>20.08</v>
      </c>
      <c r="F6" s="2" t="s">
        <v>13</v>
      </c>
    </row>
    <row r="7">
      <c r="A7" s="7" t="s">
        <v>15</v>
      </c>
      <c r="B7" s="4">
        <v>9.99</v>
      </c>
      <c r="C7" s="5">
        <v>1.4</v>
      </c>
      <c r="D7" s="5">
        <v>6.99</v>
      </c>
      <c r="E7" s="4">
        <f t="shared" si="1"/>
        <v>18.38</v>
      </c>
      <c r="F7" s="8" t="s">
        <v>16</v>
      </c>
    </row>
    <row r="8">
      <c r="A8" s="3" t="s">
        <v>17</v>
      </c>
      <c r="B8" s="4">
        <v>9.99</v>
      </c>
      <c r="C8" s="5">
        <v>1.4</v>
      </c>
      <c r="D8" s="5">
        <v>6.99</v>
      </c>
      <c r="E8" s="4">
        <f t="shared" si="1"/>
        <v>18.38</v>
      </c>
      <c r="F8" s="8" t="s">
        <v>18</v>
      </c>
    </row>
    <row r="9">
      <c r="A9" s="3" t="s">
        <v>19</v>
      </c>
      <c r="B9" s="9">
        <v>3.76</v>
      </c>
      <c r="C9" s="4">
        <f t="shared" ref="C9:C10" si="2">0.08 * B9</f>
        <v>0.3008</v>
      </c>
      <c r="D9" s="10" t="s">
        <v>13</v>
      </c>
      <c r="E9" s="4">
        <f t="shared" si="1"/>
        <v>4.0608</v>
      </c>
      <c r="F9" s="2" t="s">
        <v>13</v>
      </c>
    </row>
    <row r="10">
      <c r="A10" s="3" t="s">
        <v>20</v>
      </c>
      <c r="B10" s="9">
        <v>4.97</v>
      </c>
      <c r="C10" s="4">
        <f t="shared" si="2"/>
        <v>0.3976</v>
      </c>
      <c r="D10" s="10" t="s">
        <v>13</v>
      </c>
      <c r="E10" s="4">
        <f t="shared" si="1"/>
        <v>5.3676</v>
      </c>
      <c r="F10" s="2" t="s">
        <v>13</v>
      </c>
    </row>
    <row r="12">
      <c r="D12" s="11"/>
    </row>
    <row r="13">
      <c r="C13" s="12" t="s">
        <v>21</v>
      </c>
      <c r="E13" s="13">
        <f>SUM(E2:E10)</f>
        <v>712.6232</v>
      </c>
    </row>
  </sheetData>
  <mergeCells count="1">
    <mergeCell ref="C13:D13"/>
  </mergeCells>
  <hyperlinks>
    <hyperlink r:id="rId1" ref="F2"/>
    <hyperlink r:id="rId2" ref="F3"/>
    <hyperlink r:id="rId3" ref="F4"/>
    <hyperlink r:id="rId4" ref="F7"/>
    <hyperlink r:id="rId5" ref="F8"/>
  </hyperlinks>
  <drawing r:id="rId6"/>
</worksheet>
</file>