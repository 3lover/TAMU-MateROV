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 sheetId="1" r:id="rId5"/>
    <sheet state="visible" name="Example" sheetId="2" r:id="rId6"/>
  </sheets>
  <definedNames/>
  <calcPr/>
</workbook>
</file>

<file path=xl/sharedStrings.xml><?xml version="1.0" encoding="utf-8"?>
<sst xmlns="http://schemas.openxmlformats.org/spreadsheetml/2006/main" count="54" uniqueCount="44">
  <si>
    <t>*Add the name of what you are evaluating here*</t>
  </si>
  <si>
    <r>
      <rPr>
        <rFont val="Arial"/>
        <b/>
        <color theme="1"/>
        <sz val="12.0"/>
      </rPr>
      <t xml:space="preserve">Criteria              
</t>
    </r>
    <r>
      <rPr>
        <rFont val="Arial"/>
        <b/>
        <color rgb="FFFF0000"/>
        <sz val="10.0"/>
      </rPr>
      <t>In the column below, List all the important factors relating to the trade study</t>
    </r>
  </si>
  <si>
    <r>
      <rPr>
        <rFont val="Arial"/>
        <b/>
        <color theme="1"/>
        <sz val="12.0"/>
      </rPr>
      <t xml:space="preserve">Explanation               
</t>
    </r>
    <r>
      <rPr>
        <rFont val="Arial"/>
        <b/>
        <color rgb="FFFF0000"/>
        <sz val="10.0"/>
      </rPr>
      <t>This column provides a description for the criteria listed in the column to the left. This should contain a requirement identifier or another explanation of why the criteria is needed.</t>
    </r>
  </si>
  <si>
    <r>
      <rPr>
        <rFont val="Arial"/>
        <b/>
        <color theme="1"/>
        <sz val="12.0"/>
      </rPr>
      <t xml:space="preserve">Grade                        
</t>
    </r>
    <r>
      <rPr>
        <rFont val="Arial"/>
        <b/>
        <color rgb="FFFF0000"/>
        <sz val="10.0"/>
      </rPr>
      <t>Provides metric to standardize (normalize) options being considered.</t>
    </r>
  </si>
  <si>
    <r>
      <rPr>
        <rFont val="Arial"/>
        <b/>
        <color theme="1"/>
        <sz val="12.0"/>
      </rPr>
      <t xml:space="preserve">Weight         
</t>
    </r>
    <r>
      <rPr>
        <rFont val="Arial"/>
        <b/>
        <color rgb="FFFF0000"/>
        <sz val="10.0"/>
      </rPr>
      <t>Ranks the criteria by importantance. Typically on a numeric or percentage scale</t>
    </r>
  </si>
  <si>
    <t>Option 1</t>
  </si>
  <si>
    <t>Option 2</t>
  </si>
  <si>
    <t>Option 3</t>
  </si>
  <si>
    <r>
      <rPr>
        <rFont val="Arial"/>
        <b/>
        <color rgb="FFFF0000"/>
        <sz val="18.0"/>
      </rPr>
      <t xml:space="preserve">Reminder:
</t>
    </r>
    <r>
      <rPr>
        <rFont val="Arial"/>
        <b/>
        <color rgb="FF000000"/>
        <sz val="18.0"/>
      </rPr>
      <t>Remove red text in your final versions</t>
    </r>
  </si>
  <si>
    <t>Category 1</t>
  </si>
  <si>
    <t>Explanation 1 (i.e. ,requirement identifier, MPa, temperature, Watt, etc)</t>
  </si>
  <si>
    <t>10 = high,                            
5 = medium                                              
1 = low                                                 
0 = Fail</t>
  </si>
  <si>
    <t>Category 2</t>
  </si>
  <si>
    <t>Explanation 2 (i.e. ,requirement identifier, MPa, temperature, Watt, etc)</t>
  </si>
  <si>
    <t>Category 3</t>
  </si>
  <si>
    <t>Explanation 3 (i.e. ,requirement identifier, MPa, temperature, Watt, etc)</t>
  </si>
  <si>
    <t>Category 4</t>
  </si>
  <si>
    <t>Explanation 4 (i.e. ,requirement identifier, MPa, temperature, Watt, etc)</t>
  </si>
  <si>
    <t>TOTALS:</t>
  </si>
  <si>
    <t>^Ensure this totals 100% if you change them</t>
  </si>
  <si>
    <t>When trying to make the best design decisions for your project, trade studies are there to help break down any bias. Based on research and evidence you find, fill in the options and grade them based on the criteria you have set. Whichever option has the highest percentage "wins" the trade study by the criteria and grades you have assigned.</t>
  </si>
  <si>
    <t>Material of the Moon Rover Chassis</t>
  </si>
  <si>
    <t xml:space="preserve">Criteria              
</t>
  </si>
  <si>
    <t xml:space="preserve">Explanation               
</t>
  </si>
  <si>
    <t xml:space="preserve">Grade                        
</t>
  </si>
  <si>
    <t xml:space="preserve">Weight         
</t>
  </si>
  <si>
    <t>Aluminum
Alloy</t>
  </si>
  <si>
    <t>Titanium
Alloy</t>
  </si>
  <si>
    <t>Magnesium
Alloy</t>
  </si>
  <si>
    <t>Weight</t>
  </si>
  <si>
    <t>Important for mobility and overall balance of rover
Big determiner of the speed of the rover</t>
  </si>
  <si>
    <t>5</t>
  </si>
  <si>
    <t>Don't use these numbers it might be garbage for your use case</t>
  </si>
  <si>
    <t>Strength</t>
  </si>
  <si>
    <t>Must be able to support the different subsystems of the rover with no issues or risk</t>
  </si>
  <si>
    <t>9</t>
  </si>
  <si>
    <t>Thermal Capabilities</t>
  </si>
  <si>
    <t>Needs to be able to withstand the extreme temperatures of the lunar environment</t>
  </si>
  <si>
    <t>7</t>
  </si>
  <si>
    <t>Fatigue Resistance</t>
  </si>
  <si>
    <t>Needs to be able to withstand the harsh lunar dust and constant strain placed on it by the environment and rover components</t>
  </si>
  <si>
    <t>Cost</t>
  </si>
  <si>
    <t>Important to consider for the customer-defined requirement of cost</t>
  </si>
  <si>
    <t>6</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</si>
</sst>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18.0"/>
      <color theme="1"/>
      <name val="Arial"/>
    </font>
    <font/>
    <font>
      <color theme="1"/>
      <name val="Arial"/>
    </font>
    <font>
      <b/>
      <sz val="12.0"/>
      <color theme="1"/>
      <name val="Arial"/>
    </font>
    <font>
      <b/>
      <sz val="14.0"/>
      <color theme="1"/>
      <name val="Arial"/>
    </font>
    <font>
      <b/>
      <sz val="18.0"/>
      <color rgb="FFFF0000"/>
      <name val="Arial"/>
    </font>
    <font>
      <color theme="1"/>
      <name val="Roboto"/>
    </font>
    <font>
      <b/>
      <sz val="8.0"/>
      <color theme="1"/>
      <name val="Arial"/>
    </font>
    <font>
      <b/>
      <color theme="1"/>
      <name val="Arial"/>
    </font>
    <font>
      <b/>
      <color rgb="FFFF0000"/>
      <name val="Arial"/>
    </font>
    <font>
      <sz val="13.0"/>
      <color theme="1"/>
      <name val="Arial"/>
    </font>
    <font>
      <color rgb="FF000000"/>
      <name val="Arial"/>
    </font>
  </fonts>
  <fills count="11">
    <fill>
      <patternFill patternType="none"/>
    </fill>
    <fill>
      <patternFill patternType="lightGray"/>
    </fill>
    <fill>
      <patternFill patternType="solid">
        <fgColor rgb="FF999999"/>
        <bgColor rgb="FF999999"/>
      </patternFill>
    </fill>
    <fill>
      <patternFill patternType="solid">
        <fgColor rgb="FFCCCCCC"/>
        <bgColor rgb="FFCCCCCC"/>
      </patternFill>
    </fill>
    <fill>
      <patternFill patternType="solid">
        <fgColor rgb="FFA4C2F4"/>
        <bgColor rgb="FFA4C2F4"/>
      </patternFill>
    </fill>
    <fill>
      <patternFill patternType="solid">
        <fgColor rgb="FFFFFF00"/>
        <bgColor rgb="FFFFFF00"/>
      </patternFill>
    </fill>
    <fill>
      <patternFill patternType="solid">
        <fgColor rgb="FFFFFFFF"/>
        <bgColor rgb="FFFFFFFF"/>
      </patternFill>
    </fill>
    <fill>
      <patternFill patternType="solid">
        <fgColor rgb="FF34A853"/>
        <bgColor rgb="FF34A853"/>
      </patternFill>
    </fill>
    <fill>
      <patternFill patternType="solid">
        <fgColor rgb="FFFF0000"/>
        <bgColor rgb="FFFF0000"/>
      </patternFill>
    </fill>
    <fill>
      <patternFill patternType="solid">
        <fgColor rgb="FFED5D2B"/>
        <bgColor rgb="FFED5D2B"/>
      </patternFill>
    </fill>
    <fill>
      <patternFill patternType="solid">
        <fgColor rgb="FFEA4335"/>
        <bgColor rgb="FFEA4335"/>
      </patternFill>
    </fill>
  </fills>
  <borders count="9">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left style="thin">
        <color rgb="FF000000"/>
      </left>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0" fillId="0" fontId="3" numFmtId="0" xfId="0" applyFont="1"/>
    <xf borderId="4" fillId="3" fontId="4" numFmtId="0" xfId="0" applyAlignment="1" applyBorder="1" applyFill="1" applyFont="1">
      <alignment horizontal="center" shrinkToFit="0" wrapText="1"/>
    </xf>
    <xf borderId="5" fillId="3" fontId="4" numFmtId="0" xfId="0" applyAlignment="1" applyBorder="1" applyFont="1">
      <alignment horizontal="center" shrinkToFit="0" wrapText="1"/>
    </xf>
    <xf borderId="5" fillId="4" fontId="5" numFmtId="0" xfId="0" applyAlignment="1" applyBorder="1" applyFill="1" applyFont="1">
      <alignment horizontal="center"/>
    </xf>
    <xf borderId="0" fillId="5" fontId="6" numFmtId="0" xfId="0" applyAlignment="1" applyFill="1" applyFont="1">
      <alignment horizontal="center" shrinkToFit="0" wrapText="1"/>
    </xf>
    <xf borderId="4" fillId="0" fontId="3" numFmtId="0" xfId="0" applyAlignment="1" applyBorder="1" applyFont="1">
      <alignment horizontal="center"/>
    </xf>
    <xf borderId="5" fillId="0" fontId="3" numFmtId="0" xfId="0" applyAlignment="1" applyBorder="1" applyFont="1">
      <alignment horizontal="center" shrinkToFit="0" wrapText="1"/>
    </xf>
    <xf borderId="5" fillId="6" fontId="7" numFmtId="0" xfId="0" applyAlignment="1" applyBorder="1" applyFill="1" applyFont="1">
      <alignment shrinkToFit="0" wrapText="1"/>
    </xf>
    <xf borderId="5" fillId="0" fontId="3" numFmtId="9" xfId="0" applyAlignment="1" applyBorder="1" applyFont="1" applyNumberFormat="1">
      <alignment horizontal="center"/>
    </xf>
    <xf borderId="5" fillId="0" fontId="3" numFmtId="0" xfId="0" applyBorder="1" applyFont="1"/>
    <xf borderId="5" fillId="0" fontId="3" numFmtId="49" xfId="0" applyBorder="1" applyFont="1" applyNumberFormat="1"/>
    <xf borderId="4" fillId="0" fontId="3" numFmtId="0" xfId="0" applyBorder="1" applyFont="1"/>
    <xf borderId="6" fillId="0" fontId="8" numFmtId="0" xfId="0" applyAlignment="1" applyBorder="1" applyFont="1">
      <alignment horizontal="center"/>
    </xf>
    <xf borderId="7" fillId="0" fontId="9" numFmtId="9" xfId="0" applyAlignment="1" applyBorder="1" applyFont="1" applyNumberFormat="1">
      <alignment horizontal="center"/>
    </xf>
    <xf borderId="5" fillId="7" fontId="3" numFmtId="10" xfId="0" applyAlignment="1" applyBorder="1" applyFill="1" applyFont="1" applyNumberFormat="1">
      <alignment horizontal="center"/>
    </xf>
    <xf borderId="0" fillId="0" fontId="10" numFmtId="0" xfId="0" applyAlignment="1" applyFont="1">
      <alignment horizontal="center" shrinkToFit="0" wrapText="1"/>
    </xf>
    <xf borderId="0" fillId="0" fontId="11" numFmtId="0" xfId="0" applyAlignment="1" applyFont="1">
      <alignment shrinkToFit="0" vertical="top" wrapText="1"/>
    </xf>
    <xf borderId="7" fillId="3" fontId="4" numFmtId="0" xfId="0" applyAlignment="1" applyBorder="1" applyFont="1">
      <alignment horizontal="center" shrinkToFit="0" wrapText="1"/>
    </xf>
    <xf borderId="3" fillId="3" fontId="4" numFmtId="0" xfId="0" applyAlignment="1" applyBorder="1" applyFont="1">
      <alignment horizontal="center" shrinkToFit="0" wrapText="1"/>
    </xf>
    <xf borderId="3" fillId="4" fontId="5" numFmtId="0" xfId="0" applyAlignment="1" applyBorder="1" applyFont="1">
      <alignment horizontal="center"/>
    </xf>
    <xf borderId="8" fillId="0" fontId="3" numFmtId="0" xfId="0" applyBorder="1" applyFont="1"/>
    <xf borderId="0" fillId="0" fontId="6" numFmtId="0" xfId="0" applyAlignment="1" applyFont="1">
      <alignment horizontal="center" shrinkToFit="0" wrapText="1"/>
    </xf>
    <xf borderId="5" fillId="0" fontId="3" numFmtId="0" xfId="0" applyAlignment="1" applyBorder="1" applyFont="1">
      <alignment horizontal="center"/>
    </xf>
    <xf borderId="5" fillId="0" fontId="3" numFmtId="49" xfId="0" applyAlignment="1" applyBorder="1" applyFont="1" applyNumberFormat="1">
      <alignment horizontal="center"/>
    </xf>
    <xf borderId="0" fillId="8" fontId="3" numFmtId="0" xfId="0" applyAlignment="1" applyFill="1" applyFont="1">
      <alignment horizontal="center" shrinkToFit="0" wrapText="1"/>
    </xf>
    <xf borderId="5" fillId="6" fontId="12" numFmtId="0" xfId="0" applyAlignment="1" applyBorder="1" applyFont="1">
      <alignment horizontal="center" shrinkToFit="0" wrapText="1"/>
    </xf>
    <xf borderId="5" fillId="9" fontId="3" numFmtId="10" xfId="0" applyAlignment="1" applyBorder="1" applyFill="1" applyFont="1" applyNumberFormat="1">
      <alignment horizontal="center"/>
    </xf>
    <xf borderId="5" fillId="10" fontId="3" numFmtId="10" xfId="0" applyAlignment="1" applyBorder="1" applyFill="1" applyFont="1" applyNumberForma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5"/>
    <col customWidth="1" min="2" max="2" width="44.38"/>
    <col customWidth="1" min="3" max="3" width="15.63"/>
    <col customWidth="1" min="4" max="4" width="17.75"/>
    <col customWidth="1" min="5" max="6" width="12.63"/>
  </cols>
  <sheetData>
    <row r="1" ht="15.75" customHeight="1">
      <c r="A1" s="1" t="s">
        <v>0</v>
      </c>
      <c r="B1" s="2"/>
      <c r="C1" s="2"/>
      <c r="D1" s="2"/>
      <c r="E1" s="2"/>
      <c r="F1" s="2"/>
      <c r="G1" s="3"/>
      <c r="H1" s="4"/>
      <c r="I1" s="4"/>
      <c r="J1" s="4"/>
    </row>
    <row r="2" ht="15.75" customHeight="1">
      <c r="A2" s="5" t="s">
        <v>1</v>
      </c>
      <c r="B2" s="6" t="s">
        <v>2</v>
      </c>
      <c r="C2" s="6" t="s">
        <v>3</v>
      </c>
      <c r="D2" s="6" t="s">
        <v>4</v>
      </c>
      <c r="E2" s="7" t="s">
        <v>5</v>
      </c>
      <c r="F2" s="7" t="s">
        <v>6</v>
      </c>
      <c r="G2" s="7" t="s">
        <v>7</v>
      </c>
      <c r="H2" s="4"/>
      <c r="I2" s="8" t="s">
        <v>8</v>
      </c>
    </row>
    <row r="3" ht="15.75" customHeight="1">
      <c r="A3" s="9" t="s">
        <v>9</v>
      </c>
      <c r="B3" s="10" t="s">
        <v>10</v>
      </c>
      <c r="C3" s="11" t="s">
        <v>11</v>
      </c>
      <c r="D3" s="12">
        <v>0.25</v>
      </c>
      <c r="E3" s="13"/>
      <c r="F3" s="14"/>
      <c r="G3" s="13"/>
      <c r="H3" s="4"/>
      <c r="I3" s="4"/>
      <c r="J3" s="4"/>
    </row>
    <row r="4" ht="15.75" customHeight="1">
      <c r="A4" s="9" t="s">
        <v>12</v>
      </c>
      <c r="B4" s="10" t="s">
        <v>13</v>
      </c>
      <c r="C4" s="11" t="s">
        <v>11</v>
      </c>
      <c r="D4" s="12">
        <v>0.25</v>
      </c>
      <c r="E4" s="13"/>
      <c r="F4" s="14"/>
      <c r="G4" s="13"/>
      <c r="H4" s="4"/>
      <c r="I4" s="4"/>
      <c r="J4" s="4"/>
    </row>
    <row r="5" ht="15.75" customHeight="1">
      <c r="A5" s="9" t="s">
        <v>14</v>
      </c>
      <c r="B5" s="10" t="s">
        <v>15</v>
      </c>
      <c r="C5" s="11" t="s">
        <v>11</v>
      </c>
      <c r="D5" s="12">
        <v>0.25</v>
      </c>
      <c r="E5" s="13"/>
      <c r="F5" s="14"/>
      <c r="G5" s="13"/>
      <c r="H5" s="4"/>
      <c r="I5" s="4"/>
      <c r="J5" s="4"/>
    </row>
    <row r="6" ht="15.75" customHeight="1">
      <c r="A6" s="9" t="s">
        <v>16</v>
      </c>
      <c r="B6" s="10" t="s">
        <v>17</v>
      </c>
      <c r="C6" s="11" t="s">
        <v>11</v>
      </c>
      <c r="D6" s="12">
        <v>0.25</v>
      </c>
      <c r="E6" s="13"/>
      <c r="F6" s="14"/>
      <c r="G6" s="13"/>
      <c r="H6" s="4"/>
      <c r="I6" s="4"/>
      <c r="J6" s="4"/>
    </row>
    <row r="7" ht="15.75" customHeight="1">
      <c r="A7" s="15"/>
      <c r="B7" s="13"/>
      <c r="C7" s="16" t="s">
        <v>18</v>
      </c>
      <c r="D7" s="17">
        <f>SUM(D3:D6)</f>
        <v>1</v>
      </c>
      <c r="E7" s="18">
        <f t="shared" ref="E7:G7" si="1">SUM((E3*$D$3)+(E4*$D$4)+(E5*$D$5)+(E6*$D$6))/10</f>
        <v>0</v>
      </c>
      <c r="F7" s="18">
        <f t="shared" si="1"/>
        <v>0</v>
      </c>
      <c r="G7" s="18">
        <f t="shared" si="1"/>
        <v>0</v>
      </c>
      <c r="H7" s="4"/>
      <c r="I7" s="4"/>
      <c r="J7" s="4"/>
    </row>
    <row r="8" ht="15.75" customHeight="1">
      <c r="A8" s="4"/>
      <c r="B8" s="4"/>
      <c r="C8" s="4"/>
      <c r="D8" s="19" t="s">
        <v>19</v>
      </c>
      <c r="E8" s="4"/>
      <c r="F8" s="4"/>
      <c r="G8" s="4"/>
      <c r="H8" s="4"/>
      <c r="I8" s="4"/>
      <c r="J8" s="4"/>
    </row>
    <row r="9" ht="15.75" customHeight="1"/>
    <row r="10" ht="15.75" customHeight="1">
      <c r="A10" s="20" t="s">
        <v>20</v>
      </c>
    </row>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G1"/>
    <mergeCell ref="I2:J2"/>
    <mergeCell ref="A10:C16"/>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2.5"/>
    <col customWidth="1" min="2" max="2" width="44.38"/>
    <col customWidth="1" min="3" max="3" width="15.63"/>
    <col customWidth="1" min="4" max="4" width="16.63"/>
    <col customWidth="1" min="5" max="6" width="12.63"/>
    <col customWidth="1" min="8" max="8" width="13.25"/>
  </cols>
  <sheetData>
    <row r="1" ht="15.75" customHeight="1">
      <c r="A1" s="1" t="s">
        <v>21</v>
      </c>
      <c r="B1" s="2"/>
      <c r="C1" s="2"/>
      <c r="D1" s="2"/>
      <c r="E1" s="2"/>
      <c r="F1" s="2"/>
      <c r="G1" s="3"/>
      <c r="H1" s="4"/>
      <c r="I1" s="4"/>
      <c r="J1" s="4"/>
    </row>
    <row r="2" ht="15.75" customHeight="1">
      <c r="A2" s="21" t="s">
        <v>22</v>
      </c>
      <c r="B2" s="22" t="s">
        <v>23</v>
      </c>
      <c r="C2" s="22" t="s">
        <v>24</v>
      </c>
      <c r="D2" s="22" t="s">
        <v>25</v>
      </c>
      <c r="E2" s="23" t="s">
        <v>26</v>
      </c>
      <c r="F2" s="23" t="s">
        <v>27</v>
      </c>
      <c r="G2" s="23" t="s">
        <v>28</v>
      </c>
      <c r="H2" s="24"/>
      <c r="I2" s="25"/>
      <c r="J2" s="25"/>
    </row>
    <row r="3" ht="15.75" customHeight="1">
      <c r="A3" s="9" t="s">
        <v>29</v>
      </c>
      <c r="B3" s="10" t="s">
        <v>30</v>
      </c>
      <c r="C3" s="11" t="s">
        <v>11</v>
      </c>
      <c r="D3" s="12">
        <v>0.225</v>
      </c>
      <c r="E3" s="26">
        <v>7.0</v>
      </c>
      <c r="F3" s="27" t="s">
        <v>31</v>
      </c>
      <c r="G3" s="26">
        <v>9.0</v>
      </c>
      <c r="H3" s="28" t="s">
        <v>32</v>
      </c>
      <c r="I3" s="4"/>
      <c r="J3" s="4"/>
    </row>
    <row r="4" ht="15.75" customHeight="1">
      <c r="A4" s="9" t="s">
        <v>33</v>
      </c>
      <c r="B4" s="10" t="s">
        <v>34</v>
      </c>
      <c r="C4" s="11" t="s">
        <v>11</v>
      </c>
      <c r="D4" s="12">
        <v>0.22</v>
      </c>
      <c r="E4" s="26">
        <v>6.0</v>
      </c>
      <c r="F4" s="27" t="s">
        <v>35</v>
      </c>
      <c r="G4" s="26">
        <v>8.0</v>
      </c>
      <c r="H4" s="4"/>
      <c r="I4" s="4"/>
      <c r="J4" s="4"/>
    </row>
    <row r="5" ht="15.75" customHeight="1">
      <c r="A5" s="9" t="s">
        <v>36</v>
      </c>
      <c r="B5" s="29" t="s">
        <v>37</v>
      </c>
      <c r="C5" s="11" t="s">
        <v>11</v>
      </c>
      <c r="D5" s="12">
        <v>0.25</v>
      </c>
      <c r="E5" s="26">
        <v>9.0</v>
      </c>
      <c r="F5" s="27" t="s">
        <v>38</v>
      </c>
      <c r="G5" s="26">
        <v>8.0</v>
      </c>
      <c r="H5" s="4"/>
      <c r="I5" s="4"/>
      <c r="J5" s="4"/>
    </row>
    <row r="6" ht="15.75" customHeight="1">
      <c r="A6" s="9" t="s">
        <v>39</v>
      </c>
      <c r="B6" s="10" t="s">
        <v>40</v>
      </c>
      <c r="C6" s="11" t="s">
        <v>11</v>
      </c>
      <c r="D6" s="12">
        <v>0.2</v>
      </c>
      <c r="E6" s="26">
        <v>7.0</v>
      </c>
      <c r="F6" s="27" t="s">
        <v>35</v>
      </c>
      <c r="G6" s="26">
        <v>8.0</v>
      </c>
      <c r="H6" s="4"/>
      <c r="I6" s="4"/>
      <c r="J6" s="4"/>
    </row>
    <row r="7" ht="15.75" customHeight="1">
      <c r="A7" s="9" t="s">
        <v>41</v>
      </c>
      <c r="B7" s="10" t="s">
        <v>42</v>
      </c>
      <c r="C7" s="11" t="s">
        <v>11</v>
      </c>
      <c r="D7" s="12">
        <v>0.1</v>
      </c>
      <c r="E7" s="26">
        <v>8.0</v>
      </c>
      <c r="F7" s="27" t="s">
        <v>43</v>
      </c>
      <c r="G7" s="26">
        <v>7.0</v>
      </c>
      <c r="H7" s="4"/>
      <c r="I7" s="4"/>
      <c r="J7" s="4"/>
    </row>
    <row r="8" ht="15.75" customHeight="1">
      <c r="A8" s="15"/>
      <c r="B8" s="13"/>
      <c r="C8" s="16" t="s">
        <v>18</v>
      </c>
      <c r="D8" s="17">
        <f>SUM(D3:D7)</f>
        <v>0.995</v>
      </c>
      <c r="E8" s="30">
        <f t="shared" ref="E8:G8" si="1">SUM((E3*$D$3)+(E4*$D$4)+(E5*$D$5)+(E6*$D$6)+(E7*$D$7))/10</f>
        <v>0.7345</v>
      </c>
      <c r="F8" s="31">
        <f t="shared" si="1"/>
        <v>0.7255</v>
      </c>
      <c r="G8" s="18">
        <f t="shared" si="1"/>
        <v>0.8085</v>
      </c>
      <c r="H8" s="4"/>
      <c r="I8" s="4"/>
      <c r="J8" s="4"/>
    </row>
    <row r="9" ht="15.75" customHeight="1"/>
    <row r="10" ht="15.75" customHeight="1">
      <c r="A10" s="20"/>
      <c r="B10" s="20"/>
      <c r="C10" s="20"/>
    </row>
    <row r="11" ht="15.75" customHeight="1">
      <c r="A11" s="20"/>
      <c r="B11" s="20"/>
      <c r="C11" s="20"/>
    </row>
    <row r="12" ht="15.75" customHeight="1">
      <c r="A12" s="20"/>
      <c r="B12" s="20"/>
      <c r="C12" s="20"/>
    </row>
    <row r="13" ht="15.75" customHeight="1">
      <c r="A13" s="20"/>
      <c r="B13" s="20"/>
      <c r="C13" s="20"/>
    </row>
    <row r="14" ht="15.75" customHeight="1">
      <c r="A14" s="20"/>
      <c r="B14" s="20"/>
      <c r="C14" s="20"/>
    </row>
    <row r="15" ht="15.75" customHeight="1">
      <c r="A15" s="20"/>
      <c r="B15" s="20"/>
      <c r="C15" s="20"/>
    </row>
    <row r="16" ht="15.75" customHeight="1">
      <c r="A16" s="20"/>
      <c r="B16" s="20"/>
      <c r="C16" s="20"/>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G1"/>
  </mergeCells>
  <drawing r:id="rId1"/>
</worksheet>
</file>