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Ignore this page" sheetId="2" r:id="rId6"/>
  </sheets>
  <definedNames/>
  <calcPr/>
</workbook>
</file>

<file path=xl/sharedStrings.xml><?xml version="1.0" encoding="utf-8"?>
<sst xmlns="http://schemas.openxmlformats.org/spreadsheetml/2006/main" count="65" uniqueCount="53">
  <si>
    <t xml:space="preserve">Spending was made for 3D printing AND Waterjet </t>
  </si>
  <si>
    <t xml:space="preserve">Justification:  Oceanus required 3D printing and Waterjet services from the Rapid Prototyping Studio of Texas A&amp;M in order to build their physical prototype. </t>
  </si>
  <si>
    <t>Credits Purchased</t>
  </si>
  <si>
    <t>Receipt</t>
  </si>
  <si>
    <t>Bank Statement</t>
  </si>
  <si>
    <t xml:space="preserve">Reimbursement for </t>
  </si>
  <si>
    <t>30 credits 03-19-2026.pdf</t>
  </si>
  <si>
    <t>IMG_8606.PNG</t>
  </si>
  <si>
    <t>Emily BWM</t>
  </si>
  <si>
    <t>35credits 03-23-2026.pdf</t>
  </si>
  <si>
    <t>IMG_8605.PNG</t>
  </si>
  <si>
    <t>7credits_2 04-28-2026.pdf</t>
  </si>
  <si>
    <t>IMG_8611.PNG</t>
  </si>
  <si>
    <t>10credits 04-28-2026.pdf</t>
  </si>
  <si>
    <t>11credits 03-17-2026.pdf</t>
  </si>
  <si>
    <t>IMG_8609.PNG</t>
  </si>
  <si>
    <t>20credits 04-06-2026.pdf</t>
  </si>
  <si>
    <t>IMG_8600.PNG</t>
  </si>
  <si>
    <t>20credits 04-13-2026.pdf</t>
  </si>
  <si>
    <t xml:space="preserve">IMG_8613.PNG and </t>
  </si>
  <si>
    <t>IMG_8615.PNG</t>
  </si>
  <si>
    <t xml:space="preserve">Zachary Hobbs </t>
  </si>
  <si>
    <t>35credits 03-24-2026.pdf</t>
  </si>
  <si>
    <t>IMG_8610.PNG</t>
  </si>
  <si>
    <t>10credits 04-14-2026.pdf</t>
  </si>
  <si>
    <t>IMG_8603.PNG</t>
  </si>
  <si>
    <t>15credits 04-16-2026.pdf</t>
  </si>
  <si>
    <t>IMG_8601.PNG</t>
  </si>
  <si>
    <t>Money allocated to this spending</t>
  </si>
  <si>
    <t xml:space="preserve">Filament </t>
  </si>
  <si>
    <t>Aluminum Brackets</t>
  </si>
  <si>
    <t>Object Being 3D Printed</t>
  </si>
  <si>
    <t>Amount of Credit Spent</t>
  </si>
  <si>
    <t>Lower Enclosure 1</t>
  </si>
  <si>
    <t>Lower Enclosure 2</t>
  </si>
  <si>
    <t>Upper Enclosure 1</t>
  </si>
  <si>
    <t>Upper Enclosure 2</t>
  </si>
  <si>
    <t>2x Side Plate</t>
  </si>
  <si>
    <t>Arm</t>
  </si>
  <si>
    <t xml:space="preserve">PENDING </t>
  </si>
  <si>
    <t>2 x Sideplate 1</t>
  </si>
  <si>
    <t>Sideplate 2</t>
  </si>
  <si>
    <t>Sideplate 2 (w discount)</t>
  </si>
  <si>
    <t>Leg1</t>
  </si>
  <si>
    <t xml:space="preserve">Leg2 FAILED </t>
  </si>
  <si>
    <t>Leg2</t>
  </si>
  <si>
    <t>2 x sideplates (FAILED)</t>
  </si>
  <si>
    <t>4 x sideplates (Incorrect ones)</t>
  </si>
  <si>
    <t>Scott Credits</t>
  </si>
  <si>
    <t>Joshua Credits</t>
  </si>
  <si>
    <t>Emily Credits</t>
  </si>
  <si>
    <t>Total</t>
  </si>
  <si>
    <t>Ignore this page, it lacks accuracy, good to track how many credits required for each part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</si>
</sst>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KowR0yUTQi-c0WzC3egEA3-1nzEipSn6/view?usp=sharing" TargetMode="External"/><Relationship Id="rId11" Type="http://schemas.openxmlformats.org/officeDocument/2006/relationships/hyperlink" Target="https://drive.google.com/file/d/1ZEWNyUaH9DwsfDQZ3FFaB-zebLT4FtLo/view?usp=sharing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file/d/145Oz9kCSSzyRv4jrsF4RDGUSr2sc8uJf/view?usp=drive_link" TargetMode="External"/><Relationship Id="rId21" Type="http://schemas.openxmlformats.org/officeDocument/2006/relationships/hyperlink" Target="https://drive.google.com/file/d/1hxg3vhDCS9lEq4Lz4HZFPY84WWRD-e5b/view?usp=sharing" TargetMode="External"/><Relationship Id="rId13" Type="http://schemas.openxmlformats.org/officeDocument/2006/relationships/hyperlink" Target="https://drive.google.com/file/d/13SLQqVfRfXDnwgzDyJN9QXB0iqd16CUT/view?usp=sharing" TargetMode="External"/><Relationship Id="rId12" Type="http://schemas.openxmlformats.org/officeDocument/2006/relationships/hyperlink" Target="https://drive.google.com/file/d/131fYr3ISjJjW0KmgJWoW8dH4d6irpsGd/view?usp=sharing" TargetMode="External"/><Relationship Id="rId1" Type="http://schemas.openxmlformats.org/officeDocument/2006/relationships/hyperlink" Target="https://drive.google.com/file/d/1dWt-evGMWll90C2xgfwZiN05iuzi0myq/view?usp=sharing" TargetMode="External"/><Relationship Id="rId2" Type="http://schemas.openxmlformats.org/officeDocument/2006/relationships/hyperlink" Target="https://drive.google.com/file/d/1OnxpQknXYZYkXiVt28AA_Ufr11ukSpFV/view?usp=drive_link" TargetMode="External"/><Relationship Id="rId3" Type="http://schemas.openxmlformats.org/officeDocument/2006/relationships/hyperlink" Target="https://drive.google.com/file/d/1MRonU2MwyGrGPzrb6QfCRp2m-B6IsBj2/view?usp=sharing" TargetMode="External"/><Relationship Id="rId4" Type="http://schemas.openxmlformats.org/officeDocument/2006/relationships/hyperlink" Target="https://drive.google.com/file/d/1b3cK1ZcDtAb2USh6lIJ8n84MydpSmrx4/view?usp=drive_link" TargetMode="External"/><Relationship Id="rId9" Type="http://schemas.openxmlformats.org/officeDocument/2006/relationships/hyperlink" Target="https://drive.google.com/file/d/1CKSeuPfs4Y0e7mZ4qtAITjeOaPZ6HR3O/view?usp=sharing" TargetMode="External"/><Relationship Id="rId15" Type="http://schemas.openxmlformats.org/officeDocument/2006/relationships/hyperlink" Target="https://drive.google.com/file/d/1q61ecxD6xBzKuqnE-UtmCp1aTfTRtsvg/view?usp=sharing" TargetMode="External"/><Relationship Id="rId14" Type="http://schemas.openxmlformats.org/officeDocument/2006/relationships/hyperlink" Target="https://drive.google.com/file/d/1GGTIO9Z-mRuwUwsrT7PvgXtCb4gRJJKm/view?usp=drive_link" TargetMode="External"/><Relationship Id="rId17" Type="http://schemas.openxmlformats.org/officeDocument/2006/relationships/hyperlink" Target="https://drive.google.com/file/d/1P2U1Mq43-E7-gKnntr7WHG_aDtVtoLyU/view?usp=sharing" TargetMode="External"/><Relationship Id="rId16" Type="http://schemas.openxmlformats.org/officeDocument/2006/relationships/hyperlink" Target="https://drive.google.com/file/d/1mUPTp5Ku2yTVh3PX3Iq49FVvji2CPobu/view?usp=sharing" TargetMode="External"/><Relationship Id="rId5" Type="http://schemas.openxmlformats.org/officeDocument/2006/relationships/hyperlink" Target="https://drive.google.com/file/d/1by37xAwEoTPd3fDeRoEKPIt5Id2riqPJ/view?usp=sharing" TargetMode="External"/><Relationship Id="rId19" Type="http://schemas.openxmlformats.org/officeDocument/2006/relationships/hyperlink" Target="https://drive.google.com/file/d/1pvSSimS3Y35QdPJB7Vcd8CCDx7XcIBE-/view?usp=drive_link" TargetMode="External"/><Relationship Id="rId6" Type="http://schemas.openxmlformats.org/officeDocument/2006/relationships/hyperlink" Target="https://drive.google.com/file/d/1P4Bl_NNQOV5M0WEee9rvmdnIdaTbaYYo/view?usp=drive_link" TargetMode="External"/><Relationship Id="rId18" Type="http://schemas.openxmlformats.org/officeDocument/2006/relationships/hyperlink" Target="https://drive.google.com/file/d/1oaONIC9HqyGIE8T_vLa5k257Lg1SpY_6/view?usp=sharing" TargetMode="External"/><Relationship Id="rId7" Type="http://schemas.openxmlformats.org/officeDocument/2006/relationships/hyperlink" Target="https://drive.google.com/file/d/1z8L0m9CPiRmkKyFe8slNGX2nPm7HpiJa/view?usp=sharing" TargetMode="External"/><Relationship Id="rId8" Type="http://schemas.openxmlformats.org/officeDocument/2006/relationships/hyperlink" Target="https://drive.google.com/file/d/1P4Bl_NNQOV5M0WEee9rvmdnIdaTbaYYo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3" max="3" width="16.38"/>
    <col customWidth="1" min="5" max="5" width="42.63"/>
  </cols>
  <sheetData>
    <row r="1">
      <c r="A1" s="1" t="s">
        <v>0</v>
      </c>
      <c r="E1" s="2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</row>
    <row r="3">
      <c r="A3" s="3">
        <v>30.0</v>
      </c>
      <c r="B3" s="4" t="s">
        <v>6</v>
      </c>
      <c r="C3" s="4" t="s">
        <v>7</v>
      </c>
      <c r="D3" s="2" t="s">
        <v>8</v>
      </c>
    </row>
    <row r="4">
      <c r="A4" s="3">
        <v>35.0</v>
      </c>
      <c r="B4" s="4" t="s">
        <v>9</v>
      </c>
      <c r="C4" s="4" t="s">
        <v>10</v>
      </c>
      <c r="D4" s="2" t="s">
        <v>8</v>
      </c>
    </row>
    <row r="5">
      <c r="A5" s="3">
        <v>7.0</v>
      </c>
      <c r="B5" s="4" t="s">
        <v>11</v>
      </c>
      <c r="C5" s="4" t="s">
        <v>12</v>
      </c>
      <c r="D5" s="2" t="s">
        <v>8</v>
      </c>
    </row>
    <row r="6">
      <c r="A6" s="3">
        <v>10.0</v>
      </c>
      <c r="B6" s="4" t="s">
        <v>13</v>
      </c>
      <c r="C6" s="4" t="s">
        <v>12</v>
      </c>
      <c r="D6" s="2" t="s">
        <v>8</v>
      </c>
    </row>
    <row r="7">
      <c r="A7" s="3">
        <v>11.0</v>
      </c>
      <c r="B7" s="4" t="s">
        <v>14</v>
      </c>
      <c r="C7" s="4" t="s">
        <v>15</v>
      </c>
      <c r="D7" s="2" t="s">
        <v>8</v>
      </c>
    </row>
    <row r="8">
      <c r="A8" s="3">
        <v>20.0</v>
      </c>
      <c r="B8" s="4" t="s">
        <v>16</v>
      </c>
      <c r="C8" s="4" t="s">
        <v>17</v>
      </c>
      <c r="D8" s="2" t="s">
        <v>8</v>
      </c>
    </row>
    <row r="9">
      <c r="A9" s="3">
        <v>20.0</v>
      </c>
      <c r="B9" s="4" t="s">
        <v>18</v>
      </c>
      <c r="C9" s="5" t="s">
        <v>19</v>
      </c>
      <c r="D9" s="2" t="s">
        <v>8</v>
      </c>
    </row>
    <row r="10">
      <c r="A10" s="3"/>
      <c r="B10" s="2"/>
      <c r="C10" s="5" t="s">
        <v>20</v>
      </c>
      <c r="D10" s="2"/>
    </row>
    <row r="11">
      <c r="A11" s="3">
        <v>16.0</v>
      </c>
      <c r="D11" s="2" t="s">
        <v>21</v>
      </c>
    </row>
    <row r="12">
      <c r="A12" s="3">
        <v>35.0</v>
      </c>
      <c r="D12" s="2" t="s">
        <v>21</v>
      </c>
    </row>
    <row r="13">
      <c r="A13" s="3">
        <v>35.0</v>
      </c>
      <c r="B13" s="4" t="s">
        <v>22</v>
      </c>
      <c r="C13" s="4" t="s">
        <v>23</v>
      </c>
      <c r="D13" s="2" t="s">
        <v>8</v>
      </c>
    </row>
    <row r="14">
      <c r="A14" s="3">
        <v>10.0</v>
      </c>
      <c r="B14" s="6" t="s">
        <v>24</v>
      </c>
      <c r="C14" s="4" t="s">
        <v>25</v>
      </c>
      <c r="D14" s="2" t="s">
        <v>8</v>
      </c>
    </row>
    <row r="15">
      <c r="A15" s="3">
        <v>15.0</v>
      </c>
      <c r="B15" s="4" t="s">
        <v>26</v>
      </c>
      <c r="C15" s="4" t="s">
        <v>27</v>
      </c>
      <c r="D15" s="2" t="s">
        <v>8</v>
      </c>
    </row>
    <row r="16">
      <c r="A16" s="7">
        <f>SUM(A3:A15)</f>
        <v>244</v>
      </c>
    </row>
    <row r="19">
      <c r="A19" s="2" t="s">
        <v>28</v>
      </c>
    </row>
    <row r="20">
      <c r="A20" s="2" t="s">
        <v>29</v>
      </c>
      <c r="B20" s="8">
        <v>187.06</v>
      </c>
    </row>
    <row r="21">
      <c r="A21" s="2" t="s">
        <v>30</v>
      </c>
      <c r="B21" s="8">
        <v>47.3</v>
      </c>
    </row>
    <row r="22">
      <c r="B22" s="9">
        <f>sum(B20:B21)</f>
        <v>234.36</v>
      </c>
    </row>
  </sheetData>
  <hyperlinks>
    <hyperlink r:id="rId1" ref="B3"/>
    <hyperlink r:id="rId2" ref="C3"/>
    <hyperlink r:id="rId3" ref="B4"/>
    <hyperlink r:id="rId4" ref="C4"/>
    <hyperlink r:id="rId5" ref="B5"/>
    <hyperlink r:id="rId6" ref="C5"/>
    <hyperlink r:id="rId7" ref="B6"/>
    <hyperlink r:id="rId8" ref="C6"/>
    <hyperlink r:id="rId9" ref="B7"/>
    <hyperlink r:id="rId10" ref="C7"/>
    <hyperlink r:id="rId11" ref="B8"/>
    <hyperlink r:id="rId12" ref="C8"/>
    <hyperlink r:id="rId13" ref="B9"/>
    <hyperlink r:id="rId14" ref="C9"/>
    <hyperlink r:id="rId15" ref="C10"/>
    <hyperlink r:id="rId16" ref="B13"/>
    <hyperlink r:id="rId17" ref="C13"/>
    <hyperlink r:id="rId18" ref="B14"/>
    <hyperlink r:id="rId19" ref="C14"/>
    <hyperlink r:id="rId20" ref="B15"/>
    <hyperlink r:id="rId21" ref="C15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0.5"/>
    <col customWidth="1" min="3" max="3" width="24.75"/>
  </cols>
  <sheetData>
    <row r="1">
      <c r="A1" s="2" t="s">
        <v>31</v>
      </c>
      <c r="B1" s="2" t="s">
        <v>32</v>
      </c>
      <c r="C1" s="2" t="s">
        <v>3</v>
      </c>
    </row>
    <row r="2">
      <c r="A2" s="2" t="s">
        <v>33</v>
      </c>
      <c r="B2" s="2">
        <v>8.75</v>
      </c>
    </row>
    <row r="3">
      <c r="A3" s="2" t="s">
        <v>34</v>
      </c>
      <c r="B3" s="2">
        <v>5.0</v>
      </c>
    </row>
    <row r="4">
      <c r="A4" s="2" t="s">
        <v>35</v>
      </c>
      <c r="B4" s="2">
        <v>3.75</v>
      </c>
    </row>
    <row r="5">
      <c r="A5" s="2" t="s">
        <v>36</v>
      </c>
      <c r="B5" s="2">
        <v>5.0</v>
      </c>
    </row>
    <row r="6">
      <c r="A6" s="2" t="s">
        <v>37</v>
      </c>
      <c r="B6" s="2">
        <v>15.0</v>
      </c>
    </row>
    <row r="7">
      <c r="A7" s="2" t="s">
        <v>38</v>
      </c>
      <c r="B7" s="2">
        <v>0.0</v>
      </c>
      <c r="C7" s="2" t="s">
        <v>39</v>
      </c>
    </row>
    <row r="8">
      <c r="A8" s="2" t="s">
        <v>40</v>
      </c>
      <c r="B8" s="2">
        <v>30.0</v>
      </c>
    </row>
    <row r="9">
      <c r="A9" s="2" t="s">
        <v>41</v>
      </c>
      <c r="B9" s="2">
        <v>15.0</v>
      </c>
    </row>
    <row r="10">
      <c r="A10" s="2" t="s">
        <v>42</v>
      </c>
      <c r="B10" s="2">
        <v>7.5</v>
      </c>
    </row>
    <row r="11">
      <c r="A11" s="2" t="s">
        <v>43</v>
      </c>
      <c r="B11" s="2">
        <f t="shared" ref="B11:B12" si="1">8*1.25</f>
        <v>10</v>
      </c>
    </row>
    <row r="12">
      <c r="A12" s="2" t="s">
        <v>44</v>
      </c>
      <c r="B12" s="2">
        <f t="shared" si="1"/>
        <v>10</v>
      </c>
    </row>
    <row r="13">
      <c r="A13" s="2" t="s">
        <v>45</v>
      </c>
      <c r="B13" s="2">
        <v>10.0</v>
      </c>
    </row>
    <row r="14">
      <c r="A14" s="2" t="s">
        <v>46</v>
      </c>
      <c r="B14" s="10">
        <f>17.5*2</f>
        <v>35</v>
      </c>
    </row>
    <row r="15">
      <c r="A15" s="2" t="s">
        <v>47</v>
      </c>
      <c r="B15" s="10">
        <f>14*1.25*4</f>
        <v>70</v>
      </c>
    </row>
    <row r="16">
      <c r="A16" s="2" t="s">
        <v>48</v>
      </c>
      <c r="B16" s="2"/>
    </row>
    <row r="17">
      <c r="A17" s="2" t="s">
        <v>49</v>
      </c>
      <c r="B17" s="2"/>
    </row>
    <row r="18">
      <c r="A18" s="2" t="s">
        <v>50</v>
      </c>
      <c r="B18" s="2"/>
    </row>
    <row r="19">
      <c r="A19" s="2" t="s">
        <v>51</v>
      </c>
      <c r="B19" s="10">
        <f>SUM(B2:B18)</f>
        <v>225</v>
      </c>
    </row>
    <row r="20">
      <c r="A20" s="1" t="s">
        <v>52</v>
      </c>
    </row>
  </sheetData>
  <drawing r:id="rId1"/>
</worksheet>
</file>