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Variables" sheetId="1" r:id="rId4"/>
    <sheet state="visible" name="TRUE BOM" sheetId="2" r:id="rId5"/>
    <sheet state="visible" name="Worlds travel budget" sheetId="3" r:id="rId6"/>
    <sheet state="visible" name="Early bom" sheetId="4" r:id="rId7"/>
    <sheet state="visible" name="Early BOM 26-27" sheetId="5" r:id="rId8"/>
    <sheet state="visible" name="Estimated BOM 26-27" sheetId="6" r:id="rId9"/>
  </sheets>
  <definedNames>
    <definedName hidden="1" localSheetId="1" name="Z_2FA7891E_C37A_4F45_80DF_82AFA6190D36_.wvu.FilterData">'TRUE BOM'!$A$1:$J$955</definedName>
    <definedName hidden="1" localSheetId="3" name="Z_2FA7891E_C37A_4F45_80DF_82AFA6190D36_.wvu.FilterData">'Early bom'!$A$1:$X$258</definedName>
  </definedNames>
  <calcPr/>
  <customWorkbookViews>
    <customWorkbookView activeSheetId="0" maximized="1" windowHeight="0" windowWidth="0" guid="{2FA7891E-C37A-4F45-80DF-82AFA6190D36}" name="Filter 1"/>
  </customWorkbookViews>
  <extLst>
    <ext uri="GoogleSheetsCustomDataVersion2">
      <go:sheetsCustomData xmlns:go="http://customooxmlschemas.google.com/" r:id="rId10" roundtripDataChecksum="TMRwsWgw/WaKuszB8zX6LiTgLvoedrhh4EdkV8rdET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======
ID#AAAB1O-Ry-4
Emily Bass Werner Maldonado    (2026-03-02 00:07:06)
ZACK</t>
      </text>
    </comment>
    <comment authorId="0" ref="C44">
      <text>
        <t xml:space="preserve">======
ID#AAAB0P_80eU
Scott Cripps    (2026-02-13 07:48:46)
Tariff included</t>
      </text>
    </comment>
    <comment authorId="0" ref="A32">
      <text>
        <t xml:space="preserve">======
ID#AAABzvbOfOQ
Zack Hobbs    (2026-02-05 01:49:02)
Zack</t>
      </text>
    </comment>
  </commentList>
  <extLst>
    <ext uri="GoogleSheetsCustomDataVersion2">
      <go:sheetsCustomData xmlns:go="http://customooxmlschemas.google.com/" r:id="rId1" roundtripDataSignature="AMtx7mj/1v62ChjI8kb/DxyXEXHgzYc0x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======
ID#AAAB2gurE1I
Zack Hobbs    (2026-03-26 02:18:30)
Assumed half the team is respective gender</t>
      </text>
    </comment>
  </commentList>
  <extLst>
    <ext uri="GoogleSheetsCustomDataVersion2">
      <go:sheetsCustomData xmlns:go="http://customooxmlschemas.google.com/" r:id="rId1" roundtripDataSignature="AMtx7miUSTDfPSZy3B84edKxhXxkF5FvT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======
ID#AAAB6YWyxco
Emily Bass Werner Maldonado    (2026-05-13 18:35:32)
Could cut it down to 200 since we will use fab lab more
------
ID#AAAB6bQTglo
Alexander Huynh    (2026-05-13 20:08:29)
Adjusted it to $250.00</t>
      </text>
    </comment>
  </commentList>
  <extLst>
    <ext uri="GoogleSheetsCustomDataVersion2">
      <go:sheetsCustomData xmlns:go="http://customooxmlschemas.google.com/" r:id="rId1" roundtripDataSignature="AMtx7mjwVq4MYSYYIJK1/jlIx7VIQ3FLow=="/>
    </ext>
  </extLst>
</comments>
</file>

<file path=xl/sharedStrings.xml><?xml version="1.0" encoding="utf-8"?>
<sst xmlns="http://schemas.openxmlformats.org/spreadsheetml/2006/main" count="1306" uniqueCount="672">
  <si>
    <t>Variable</t>
  </si>
  <si>
    <t>Value</t>
  </si>
  <si>
    <t>Accounts</t>
  </si>
  <si>
    <t>Cash Flow</t>
  </si>
  <si>
    <t>Cat Tag</t>
  </si>
  <si>
    <t>Sub Tag</t>
  </si>
  <si>
    <t>FTC Membership</t>
  </si>
  <si>
    <t>Activity</t>
  </si>
  <si>
    <t>Revenue</t>
  </si>
  <si>
    <t>R1 - Fundraiser</t>
  </si>
  <si>
    <t>R1.1 - Robocamp</t>
  </si>
  <si>
    <t>FRC Membership</t>
  </si>
  <si>
    <t>BDST</t>
  </si>
  <si>
    <t>Expense</t>
  </si>
  <si>
    <t>R2 - Event</t>
  </si>
  <si>
    <t>R1.2 - Merch</t>
  </si>
  <si>
    <t>League Meets</t>
  </si>
  <si>
    <t>Campus</t>
  </si>
  <si>
    <t>R3 - Dues</t>
  </si>
  <si>
    <t>R1.3 - Bots of Love</t>
  </si>
  <si>
    <t>FTC Teams</t>
  </si>
  <si>
    <t>Checking</t>
  </si>
  <si>
    <t>R4 - Trip Fees</t>
  </si>
  <si>
    <t>R2.3 - Project Artemis</t>
  </si>
  <si>
    <t>CTE</t>
  </si>
  <si>
    <t>R5 - Gifts</t>
  </si>
  <si>
    <t>R2.4 - Boba Social</t>
  </si>
  <si>
    <t>PayPal</t>
  </si>
  <si>
    <t>R6 - District</t>
  </si>
  <si>
    <t>R2.5 - FTC League Commissioner</t>
  </si>
  <si>
    <t>Venmo</t>
  </si>
  <si>
    <t>R7 - Transfer</t>
  </si>
  <si>
    <t>R2.6 - FTC League Meets</t>
  </si>
  <si>
    <t>R8 - Beginning Balance</t>
  </si>
  <si>
    <t>R2.7 - FLL Hosting</t>
  </si>
  <si>
    <t>X1 - Registration</t>
  </si>
  <si>
    <t>R2.8 - Build Bash</t>
  </si>
  <si>
    <t>X2 - Fundraiser</t>
  </si>
  <si>
    <t>R2.9 - Banquet</t>
  </si>
  <si>
    <t>X3 - Event</t>
  </si>
  <si>
    <t>R2.1 - Leadership Summit</t>
  </si>
  <si>
    <t>X4 - Competition</t>
  </si>
  <si>
    <t>R2.11 - New Events</t>
  </si>
  <si>
    <t>X5 - Team Budgets</t>
  </si>
  <si>
    <t>R3.1 - Dues</t>
  </si>
  <si>
    <t>X6 - Reusable Supplies</t>
  </si>
  <si>
    <t>R4.1 - FTC League 1</t>
  </si>
  <si>
    <t>X7 - Transfer</t>
  </si>
  <si>
    <t>R4.2 - FTC League 2</t>
  </si>
  <si>
    <t>X8 - General</t>
  </si>
  <si>
    <t>R4.3 - FTC League 3</t>
  </si>
  <si>
    <t>R4.4 - FTC Semi Regional</t>
  </si>
  <si>
    <t>R4.6 - FTC Worlds</t>
  </si>
  <si>
    <t>R4.7 - FRC District 1</t>
  </si>
  <si>
    <t>R4.8 - FRC District 2</t>
  </si>
  <si>
    <t>R4.8 - FRC State</t>
  </si>
  <si>
    <t>R4.13 - FTC Kickoff</t>
  </si>
  <si>
    <t>R5.1 - Grants</t>
  </si>
  <si>
    <t>R5.2 - Sponsorships</t>
  </si>
  <si>
    <t>R5.3 - Donations</t>
  </si>
  <si>
    <t>R6.1 - Campus Speaker</t>
  </si>
  <si>
    <t>R6.2 - Campus Travel</t>
  </si>
  <si>
    <t>R6.3 - CTE Registrations</t>
  </si>
  <si>
    <t>R6.4 - BDST FRC State</t>
  </si>
  <si>
    <t>R6.5 - BDST FTC Super-regionals</t>
  </si>
  <si>
    <t>R6.6 - BDST Worlds</t>
  </si>
  <si>
    <t>R7.1 - From Activity</t>
  </si>
  <si>
    <t>R7.4 - Returns</t>
  </si>
  <si>
    <t>R8.1 - Beginning Balance</t>
  </si>
  <si>
    <t>X1.1 - FRC 2583 Orange Dynamite</t>
  </si>
  <si>
    <t>X1.2 - FTC 17113 Hunga Munga</t>
  </si>
  <si>
    <t>X1.3 - FTC 17315 Tomahawk</t>
  </si>
  <si>
    <t>X1.4 - FTC 17624 Arrowhead</t>
  </si>
  <si>
    <t>X1.5 - FTC 18884 Boomerang</t>
  </si>
  <si>
    <t>X1.6 - FTC 18886 Atlatl</t>
  </si>
  <si>
    <t>X1.7 - FTC 20240 Slingshot</t>
  </si>
  <si>
    <t>X2.1 - Robocamp</t>
  </si>
  <si>
    <t>X2.2 - Merch</t>
  </si>
  <si>
    <t>X2.3 - Bots of Love</t>
  </si>
  <si>
    <t>X3.4 - Hype Night</t>
  </si>
  <si>
    <t>X3.5 - Info Meeting</t>
  </si>
  <si>
    <t>X3.6 - 1st Parent Meeting</t>
  </si>
  <si>
    <t>X3.9 - FTC Kickoff</t>
  </si>
  <si>
    <t>X3.12 - Boba Social</t>
  </si>
  <si>
    <t>X3.13 - Homecoming</t>
  </si>
  <si>
    <t>X3.14 - FTC Hosting</t>
  </si>
  <si>
    <t>X3.15 - FLL Hosting</t>
  </si>
  <si>
    <t>X3.16 - FRC Season Kickoff</t>
  </si>
  <si>
    <t>X3.17 - 8th Grade Parent Night</t>
  </si>
  <si>
    <t>X3.21 - Warriorfest</t>
  </si>
  <si>
    <t>X3.22 - Build Bash</t>
  </si>
  <si>
    <t>X3.23 - Banquet</t>
  </si>
  <si>
    <t>X3.24 - Signing Day</t>
  </si>
  <si>
    <t>X3.25 - Spring Sponsor Night</t>
  </si>
  <si>
    <t>X3.1 - Leadership Summit</t>
  </si>
  <si>
    <t>X3.26 - New Events</t>
  </si>
  <si>
    <t>X4.1 - FTC League 1</t>
  </si>
  <si>
    <t>X4.2 - FTC League 2</t>
  </si>
  <si>
    <t>X4.3 - FTC League 3</t>
  </si>
  <si>
    <t>X4.4 - FTC Parent Tournament</t>
  </si>
  <si>
    <t>X4.5 - FTC Semi-Regionals</t>
  </si>
  <si>
    <t>X4.6 - FTC Regionals</t>
  </si>
  <si>
    <t>X4.7 - FTC State</t>
  </si>
  <si>
    <t>X4.8 - FTC Worlds</t>
  </si>
  <si>
    <t>X4.9 - FRC Scimmage 1</t>
  </si>
  <si>
    <t>X4.10 - FRC District 1</t>
  </si>
  <si>
    <t>X4.11 - FRC District 2</t>
  </si>
  <si>
    <t>X4.12 - FRC State</t>
  </si>
  <si>
    <t>X4.13 - FRC Worlds</t>
  </si>
  <si>
    <t>X5.1 - FRC 2583 Orange Dynamite</t>
  </si>
  <si>
    <t>X5.2 - FTC 17113 Hunga Munga</t>
  </si>
  <si>
    <t>X5.3 - FTC 17315 Tomahawk</t>
  </si>
  <si>
    <t>X5.4 - FTC 17624 Arrowhead</t>
  </si>
  <si>
    <t>X5.5 - FTC 18884 Boomerang</t>
  </si>
  <si>
    <t>X5.6 - FTC 18886 Atlatl</t>
  </si>
  <si>
    <t>X5.7 - FTC 20240 Slingshot</t>
  </si>
  <si>
    <t>X6.1 - Tools and Equipment</t>
  </si>
  <si>
    <t>X6.2 - Repair</t>
  </si>
  <si>
    <t>X6.3 - Organization</t>
  </si>
  <si>
    <t>X6.4 - Media</t>
  </si>
  <si>
    <t>X6.5 - Spirit</t>
  </si>
  <si>
    <t>X6.6 - Marketing</t>
  </si>
  <si>
    <t>X6.7 - Event Supplies</t>
  </si>
  <si>
    <t>X6.8 - Website</t>
  </si>
  <si>
    <t>X6.9 - Team T-Shirts</t>
  </si>
  <si>
    <t>X7.1 - To Activity</t>
  </si>
  <si>
    <t>X7.2 - To Checking</t>
  </si>
  <si>
    <t>X8.1 - General</t>
  </si>
  <si>
    <t>Predictive Budget</t>
  </si>
  <si>
    <t>From: 9/01/2025</t>
  </si>
  <si>
    <t>To: 5/31/2026</t>
  </si>
  <si>
    <t>Total Income:</t>
  </si>
  <si>
    <t>Total Real Expenses</t>
  </si>
  <si>
    <t>Real in budget</t>
  </si>
  <si>
    <t>Total Projected Expenses</t>
  </si>
  <si>
    <t>Projected in budget</t>
  </si>
  <si>
    <t>Income Source</t>
  </si>
  <si>
    <t>Amount</t>
  </si>
  <si>
    <t>Source</t>
  </si>
  <si>
    <t>ThinkTank Grant</t>
  </si>
  <si>
    <t>BIG Event Donation</t>
  </si>
  <si>
    <t>Expenses</t>
  </si>
  <si>
    <t>Catagory</t>
  </si>
  <si>
    <t>Amount Spent</t>
  </si>
  <si>
    <t>Online cost</t>
  </si>
  <si>
    <t>Buffer (20%)</t>
  </si>
  <si>
    <t>Projected Cost</t>
  </si>
  <si>
    <t>Category</t>
  </si>
  <si>
    <t>Method of Acquisition</t>
  </si>
  <si>
    <t>Link</t>
  </si>
  <si>
    <t>Order ID</t>
  </si>
  <si>
    <t>Status</t>
  </si>
  <si>
    <t>Manifest</t>
  </si>
  <si>
    <t>Total</t>
  </si>
  <si>
    <t>Team</t>
  </si>
  <si>
    <t>4 CW Thrusters</t>
  </si>
  <si>
    <t>F&amp;P</t>
  </si>
  <si>
    <t>Purchased</t>
  </si>
  <si>
    <t>https://www.amazon.com/Underwater-bi-Directional-Waterproof-Photography-Exploration/dp/B09BVKKKTJ?th=1</t>
  </si>
  <si>
    <t>a</t>
  </si>
  <si>
    <t>Received</t>
  </si>
  <si>
    <t>Joe Harb</t>
  </si>
  <si>
    <t>NOTE: make sure each 4 that is purchased are different</t>
  </si>
  <si>
    <t>4 CWW Thrusters</t>
  </si>
  <si>
    <t>https://www.amazon.com/Underwater-bi-Directional-Waterproof-Photography-Exploration/dp/B09BVKB3KD?th=1</t>
  </si>
  <si>
    <t>Peristaltic Pump (Ballast System)</t>
  </si>
  <si>
    <t>https://www.amazon.com/Peristaltic-brushless-Adjustable-Liquid-KPHM600/dp/B09PDS7Z51?ref_</t>
  </si>
  <si>
    <t>Vincent Camarillo</t>
  </si>
  <si>
    <t>Raspberry Pi 5 8GB</t>
  </si>
  <si>
    <t>GNC</t>
  </si>
  <si>
    <t>https://a.co/d/fJQ7PAU</t>
  </si>
  <si>
    <t>:(</t>
  </si>
  <si>
    <t>Blue Robotics IMU</t>
  </si>
  <si>
    <t>https://bluerobotics.com/store/comm-control-power/control/navigator/</t>
  </si>
  <si>
    <t>Pressure sensor</t>
  </si>
  <si>
    <t>https://blu-sub.com/products/subsea-depth-sensor-m8?srsltid=AfmBOookGqkqT2gmomWs3OF_bwLJF90VyGukCe-GFSqDtI-OyxeKcNgC</t>
  </si>
  <si>
    <t>e</t>
  </si>
  <si>
    <t>Ultrasonic Sensor</t>
  </si>
  <si>
    <t>https://www.dfrobot.com/product-2760.html?gad_source=1&amp;gad_campaignid=22388643497&amp;gbraid=0AAAAADucPlAP-twumsBTCZAXvKJhsjNvo&amp;gclid=CjwKCAiA_orJBhBNEiwABkdmjK-3anc8Ofp9iYc8QSh-6Mka4nqgBuPSD-T08QSt133_0XwMI1OCbxoCJTMQAvD_BwE</t>
  </si>
  <si>
    <t>bb</t>
  </si>
  <si>
    <t>Andrei Bugayong</t>
  </si>
  <si>
    <t>ArduCam 4k camera</t>
  </si>
  <si>
    <t>https://www.amazon.com/Arducam-Camera-Lightburn-Raspberry-Windows/dp/B0C1G73QZD</t>
  </si>
  <si>
    <t>BRIO 100 1080p Webcam</t>
  </si>
  <si>
    <t>https://a.co/d/0peiM8n</t>
  </si>
  <si>
    <t>Pico W</t>
  </si>
  <si>
    <t>https://www.amazon.com/Pico-Pre-Soldered-Compatible-Microcontroller-Dual-Architecture/dp/B0DP54FWX1?sr=1-3</t>
  </si>
  <si>
    <t>Christopher Gibbs</t>
  </si>
  <si>
    <t>SPI SD Card Reader</t>
  </si>
  <si>
    <t>https://www.amazon.com/Interface-Arduino-Raspberry-Breakout-Cable%EF%BC%88Pack/dp/B07MTTLF75</t>
  </si>
  <si>
    <t>Logitech controller</t>
  </si>
  <si>
    <t>C&amp;C</t>
  </si>
  <si>
    <t>https://www.amazon.com/Logitech-940-000110-Gamepad-F310/dp/B003VAHYQY/ref=sr_1_1?sr=8-1</t>
  </si>
  <si>
    <t>f</t>
  </si>
  <si>
    <t>Team Registration</t>
  </si>
  <si>
    <t>Not Ordered</t>
  </si>
  <si>
    <t>Fluid quiz</t>
  </si>
  <si>
    <t>:)</t>
  </si>
  <si>
    <t>Vinyl Tubing for Pump</t>
  </si>
  <si>
    <t>Ordered in Person</t>
  </si>
  <si>
    <t>z</t>
  </si>
  <si>
    <t>IV bag/bladder</t>
  </si>
  <si>
    <t>Donated</t>
  </si>
  <si>
    <t>Foam sheet 3/16 in</t>
  </si>
  <si>
    <t>https://www.zoro.com/zoro-select-foam-sheet-water-resistant-closed-cell-12-in-w-12-in-l-316-in-thick-black-zusansr-303/i/G6758439/</t>
  </si>
  <si>
    <t>1 Float Heating Pad</t>
  </si>
  <si>
    <t>TMS</t>
  </si>
  <si>
    <t>https://www.amazon.com/MECCANIXITY-Silicone-Flexible-Constant-Temperature/dp/B0CLS2KVYM</t>
  </si>
  <si>
    <t>Subsea Buoyancy Foam: R-33012 16 in x 8 in x 1 in</t>
  </si>
  <si>
    <t>Subsea Buoyancy Foam</t>
  </si>
  <si>
    <t>b</t>
  </si>
  <si>
    <t>Alex Huynh</t>
  </si>
  <si>
    <t>Loctite Marine Epoxy</t>
  </si>
  <si>
    <t>https://www.doitbest.com/product/358062/loctite-0-85-oz-marine-epoxy-358062/?psrid=wtbs_69a4ce4bebbd9c72e5832940</t>
  </si>
  <si>
    <t>h</t>
  </si>
  <si>
    <t>2 Daygreen 48V to 12V 480W DC-DC Step-down Converter</t>
  </si>
  <si>
    <t>EPS</t>
  </si>
  <si>
    <t>https://daygreen.com/products/36v-48v-to-12v-40a-480w-dc-dc-step-down-converter-voltage-regulator?srsltid=AfmBOopCuBx1HCG0NDE4vn2cubDxLRqgNXKltEPszqxbO5RViXN_Xovf&amp;variant=40506524991535</t>
  </si>
  <si>
    <t>d</t>
  </si>
  <si>
    <t>Tenergy NiMH 12V 2000mAh Battery Pack</t>
  </si>
  <si>
    <t>https://power.tenergy.com/tenergy-nimh-12v-2000mah-battery-pack-w-bare-leads/</t>
  </si>
  <si>
    <t>i</t>
  </si>
  <si>
    <t>Manufacturing credits</t>
  </si>
  <si>
    <t>https://www.amazon.com/3DHoJor-Update-Filament-Printer-Cardboard/dp/B0F18YDPHM/ref=mp_s_a_1_6_sspa?dib=eyJ2IjoiMSJ9.fXSAolwsB0y_lm7AA7aPBDLM5y6evr8GYgJDqWmhrg29ew9nuSc2ixkFK7SRutpHzRrGfZNojt_-ZzwqzjDMaVp_ksH2o42iJkwOWrXTr8EEDaKTrp1JE7VFtT71KyR_2PAbCYi9K_cKx6WFxrBYQjIBPt_RL8ISxDsqxRhH5GIkqHLYHeWjtiaV8ps0PWkUhJhrAru10Tgv8FvGafGjZQ.-HTQOyahsTo6rCy6ruhcNTYAnCNlr9Mkv6voZeDKc2U&amp;dib_tag=se&amp;keywords=petg+filament&amp;qid=1770597372&amp;sr=8-6-spons&amp;sp_csd=d2lkZ2V0TmFtZT1zcF9waG9uZV9zZWFyY2hfbXRm&amp;psc=</t>
  </si>
  <si>
    <t>---</t>
  </si>
  <si>
    <t>1 400 mm aluminum enclosure, 4 in diameter + $15 tariff</t>
  </si>
  <si>
    <r>
      <rPr>
        <color rgb="FF1155CC"/>
        <sz val="5.0"/>
        <u/>
      </rPr>
      <t>Locking Tubes for Watertight Subsea Enclosures</t>
    </r>
  </si>
  <si>
    <t>4 in diameter aluminum blank cap + $15 tariff (2 caps)</t>
  </si>
  <si>
    <r>
      <rPr>
        <color rgb="FF1155CC"/>
        <sz val="5.0"/>
        <u/>
      </rPr>
      <t>End Caps and Flange Caps for Subsea Watertight Enclosures</t>
    </r>
  </si>
  <si>
    <t>O-Ring Flanges 4 in (2 Flanges) + $15 tariff</t>
  </si>
  <si>
    <r>
      <rPr>
        <color rgb="FF1155CC"/>
        <sz val="5.0"/>
        <u/>
      </rPr>
      <t>O-ring Flange for Custom Underwater Housings</t>
    </r>
  </si>
  <si>
    <t>Servos</t>
  </si>
  <si>
    <t>https://www.amazon.com/Waterproof-Coreless-DSSERVO-Stainless-Climbing/dp/B0D4YKK4YQ/ref=asc_df_B0D4YKK4YQ?tag=bingshoppinga-20&amp;linkCode=df0&amp;hvadid=79989681303546&amp;hvnetw=o&amp;hvqmt=e&amp;hvbmt=be&amp;hvdev=c&amp;hvlocint=&amp;hvlocphy=65831&amp;hvtargid=pla-4583589159695688&amp;psc=1&amp;msclkid=c5882bd61f0b181f5ac6424d90c49f9a</t>
  </si>
  <si>
    <t>k</t>
  </si>
  <si>
    <t>1 200 mm acrylic enclosure, 100 mm diameter (Float)</t>
  </si>
  <si>
    <t>https://bluerobotics.com/store/watertight-enclosures/wte-vp/</t>
  </si>
  <si>
    <t>l</t>
  </si>
  <si>
    <t>Scott Cripps</t>
  </si>
  <si>
    <t>1 Zinc disc weight</t>
  </si>
  <si>
    <t>https://www.rotometals.com/zinc-disc-3-diameter-x-1-thick/</t>
  </si>
  <si>
    <t>m</t>
  </si>
  <si>
    <t xml:space="preserve">Hinge </t>
  </si>
  <si>
    <t>https://usstainless.com/deck-hardware/us-stainless-stainless-steel-316-hinge-3-marine-grade/</t>
  </si>
  <si>
    <t>n</t>
  </si>
  <si>
    <t>SOFC form</t>
  </si>
  <si>
    <t>Flipsky 4-20S Lipo External UBEC 20A 5.0V (default) / 6.0V / 7.4V / 8.4V for RC Car Fixed Wing Aircraft Robot Arm Black</t>
  </si>
  <si>
    <t>https://flipsky.net/products/flipsky-4-20s-lipo-external-ubec-20a-5-0v-default-6-0v-7-4v-8-4v-for-rc-car-fixed-wing-aircraft-robot-arm-black?variant=46965991244017&amp;country=US&amp;currency=USD</t>
  </si>
  <si>
    <t>o</t>
  </si>
  <si>
    <t>6061 Aluminum Round Bar 3 1/2 inch diameter 3 inch length</t>
  </si>
  <si>
    <t>https://www.coremarkmetals.com/6061-t6511-aluminum-round-bar?sk=02710&amp;gad_source=1&amp;gad_campaignid=23032049024&amp;gbraid=0AAAAADsYG1loH_7FY5gQ-dQUTcIey2anb&amp;gclid=Cj0KCQiA7-rMBhCFARIsAKnLKtBvh4NVh1Dc599_YASZ-ysy-euXO59mka66rzbf0OZBHtXULTLcx4caAkEDEALw_wcB</t>
  </si>
  <si>
    <t>p</t>
  </si>
  <si>
    <t>PCBs</t>
  </si>
  <si>
    <t>q</t>
  </si>
  <si>
    <t>Bhavana Shree Pothuri</t>
  </si>
  <si>
    <t>Littelfuse 25A *</t>
  </si>
  <si>
    <t>https://www.digikey.com/en/products/detail/littelfuse-inc/0895025.U/F4345-ND/3305707</t>
  </si>
  <si>
    <t>u</t>
  </si>
  <si>
    <t>Fuse Holder</t>
  </si>
  <si>
    <t>https://www.digikey.com/en/products/detail/littelfuse-inc/HLJC1001G/F6110-ND/3427070</t>
  </si>
  <si>
    <t>r</t>
  </si>
  <si>
    <t>SBS50BLU-BK</t>
  </si>
  <si>
    <t>https://www.digikey.com/en/products/detail/anderson-power-products-inc/SBS50BLU-BK/10650548</t>
  </si>
  <si>
    <t>2 x Long Hex Standoff</t>
  </si>
  <si>
    <r>
      <rPr>
        <color rgb="FF1155CC"/>
        <sz val="5.0"/>
        <u/>
      </rPr>
      <t>Long Hex Standoff</t>
    </r>
  </si>
  <si>
    <t>s</t>
  </si>
  <si>
    <t xml:space="preserve">4x Long Hex Standoff </t>
  </si>
  <si>
    <r>
      <rPr>
        <color rgb="FF1155CC"/>
        <sz val="5.0"/>
        <u/>
      </rPr>
      <t>Short Hex Standoff</t>
    </r>
  </si>
  <si>
    <t>2 X Connecters *</t>
  </si>
  <si>
    <t>https://www.digikey.com/en/products/detail/anderson-power-products-inc/5915-BK/10650335</t>
  </si>
  <si>
    <t xml:space="preserve">Tether (12m) (4 twisted pairs) </t>
  </si>
  <si>
    <t>https://bluerobotics.com/store/cables-connectors/cables/fathom-rov-tether-by-the-meter/</t>
  </si>
  <si>
    <t>Ordered</t>
  </si>
  <si>
    <t>Bi-directional Logic Level Converter</t>
  </si>
  <si>
    <t>https://www.sparkfun.com/sparkfun-logic-level-converter-bi-directional.html</t>
  </si>
  <si>
    <t>t</t>
  </si>
  <si>
    <t>Lights</t>
  </si>
  <si>
    <r>
      <rPr>
        <rFont val="inherit"/>
        <color rgb="FF1155CC"/>
        <sz val="5.0"/>
        <u/>
      </rPr>
      <t>https://www.amazon.com/BASIKER-BS1-2x1200LM-Stainless-Underwater/dp/B091Y64V2G/ref=cm_cr_arp_d_product_top?ie=UTF8&amp;th=1</t>
    </r>
  </si>
  <si>
    <t>v</t>
  </si>
  <si>
    <t>O-ball</t>
  </si>
  <si>
    <t>https://www.amazon.com/Bright-Starts-Oball-Easy-Grasp-Classic-Ball-BPA-Free-Age-Newborn/dp/B00ZRD99C0/ref=sr_1_3?crid=1E43PFWKY2KGT&amp;dib=eyJ2IjoiMSJ9.s18FknBioS8qqamkiAl5ESLXXQlk-U2t_GbCey0vCGVtASABrepVDrbLpXHCQOrlkclX4XXFPK5EF2vtUVIhWkiOcM-PsKlKwXcF9RhMUR8J9uTrkueiPYPjA7y7w453t9P-2vU7Q_Fs7BWLEBZjXhzH0oG-kEN91uT7lalyqwu8eso4DxZ1GQTVXm51ksct-Uf0JgilHUB9b6JrdwIWGVe6PhxXWIWbuTVlOWwAX9c.gknv6CLuKEv-XZSIubkIFLs-2vccTWoU1yWnrMfSjsk&amp;dib_tag=se&amp;keywords=O%2Bball&amp;qid=1759779548&amp;sprefix=o%2Bball%2Caps%2C258&amp;sr=8-3&amp;th=1</t>
  </si>
  <si>
    <t>½-inch PVC base x 10ft</t>
  </si>
  <si>
    <t>https://www.homedepot.com/p/JM-EAGLE-1-2-in-x-10-ft-600-PSI-White-Schedule-40-PVC-Pressure-Plain-End-Pipe-530048/100113200</t>
  </si>
  <si>
    <t>w</t>
  </si>
  <si>
    <t>100ct Chenille Pipe Cleaners</t>
  </si>
  <si>
    <t>https://www.michaels.com/product/primary-chenille-pipe-cleaners-value-pack-100ct-by-creatology-10525295?michaelsStore=1329&amp;inv=5</t>
  </si>
  <si>
    <t>y</t>
  </si>
  <si>
    <t xml:space="preserve">2-inch end cap </t>
  </si>
  <si>
    <t>https://www.pvcfittingsonline.com/collections/sch-40-pvc-caps/products/447-020-2-schedule-40-pvc-cap</t>
  </si>
  <si>
    <t>aa</t>
  </si>
  <si>
    <t>2-inch knockout cap</t>
  </si>
  <si>
    <t>https://www.homedepot.com/p/Oatey-2-in-ABS-Pipe-Test-Cap-with-Knockout-39101D/100137732</t>
  </si>
  <si>
    <t>2-inch PVC pipe</t>
  </si>
  <si>
    <t>https://www.homedepot.com/p/Charlotte-Pipe-2-in-x-10-ft-White-Schedule-40-PVC-Pipe-Solid-Core-PVC-07200-0600/100348475</t>
  </si>
  <si>
    <t>Rope</t>
  </si>
  <si>
    <t>https://www.homedepot.com/p/Everbilt-5-32-in-x-75-ft-Neon-Diamond-Braided-Polypropylene-Rope-with-Winder-72846/206094313</t>
  </si>
  <si>
    <t>Yellow spray paint</t>
  </si>
  <si>
    <t>https://www.homedepot.com/p/Rust-Oleum-Painter-s-Touch-2X-12-oz-Gloss-Sun-Yellow-General-Purpose-Spray-Paint-334046/307244829</t>
  </si>
  <si>
    <t>1 ½-inch PVC pipe</t>
  </si>
  <si>
    <t>https://www.homedepot.com/p/Charlotte-Pipe-1-1-2-in-x-2-ft-PVC-DWV-Schedule-40-Pipe-PVC071120200HA/100581718</t>
  </si>
  <si>
    <t>Screw Hook</t>
  </si>
  <si>
    <t>https://www.homedepot.com/p/Everbilt-3-16-in-x-3-3-8-in-Zinc-Screw-Hook-824401/314745390</t>
  </si>
  <si>
    <t>Corrugated plastic sheeting</t>
  </si>
  <si>
    <t>https://www.homedepot.com/p/Coroplast-48-in-x-96-in-x-0-157-in-4mm-White-Corrugated-Twinwall-Plastic-Sheet-CP4896S/205351385</t>
  </si>
  <si>
    <t>Cable Wire</t>
  </si>
  <si>
    <t>https://www.amazon.com/Conductor-Electrical-Stranded-Extension-Automotive/dp/B0CN76L8G3/ref=sr_1_1_sspa?crid=ISP37XE77HCA&amp;dib=eyJ2IjoiMSJ9.0R4K-R9ND0Gn9BJSAu1pmqLPUxZ-P-o4lIq4Khjz0K0gqfQ9s-kVtWP5Zu6ffeC6L4QoDtFoJiEAytJGaFQDEaVxhIwymM2pgEMKKLgqcom-zFn8V_hWrYqnJBxdQ1TwKVAJGPioFZVHreeEwW3JSLt5yCddOM0ScvRZlVFPOi3TrRrlPFcbpVkIq00-bzPKp5cTdZegklio0rzxkO7a83c_t7hueqi2aS6NMMwWF-Qz97R_gFS8cApeJaTQ_errpBYc3FEVbjFQC93jLpH3JoB8p9_rBx05QVfMsp-eaSA.SBa7iJFoL_-dompenMmjtVvhs-NArobbzbSvPsYWNu4&amp;dib_tag=se&amp;keywords=18%2Bgauge%2B2%2Bwire%2Bcable%2B25ft&amp;qid=1769459948&amp;sprefix=18%2Bgauge%2B2%2Bwire%2Bcable%2B25ft%2Caps%2C187&amp;sr=8-1-spons&amp;sp_csd=d2lkZ2V0TmFtZT1zcF9hdGY&amp;th=1</t>
  </si>
  <si>
    <t xml:space="preserve">Heat-Set Threaded Inserts (100 pc) </t>
  </si>
  <si>
    <t>https://www.amazon.com/HANGLIFE-Heat-Set-Threaded-Printing-Components/dp/B0CS6XGMFD/ref=sr_1_4?crid=21MWXGKS9W7KX&amp;dib=eyJ2IjoiMSJ9.umZ_BL7Z-e8rcgx7P5Sx04il4fv2xu4L3J-FvRS_Wst7xgqjuoSiXqMRmGVb8JT3Ru2HDyzc1XI-OG9_Atxqum2dsZ0Cul8jcxNfmPTHukmiAHZikiY2ZIwCc3W94vc1BOvSTVY5v-Bbam89EHlloGWN05pef2czZm9WRkZmQACUgR3e8cPLfjh6skW122htKI-WdTQF_PzMVLrcAdwdrBmTAHgTnWNF5NqkbOgNCpbyu-RAHzNcc_PusBwLJER4KFuFi2lam-KNkR_jJ2kUZ4U5aeFaW2D50N62ikqD1bk.WvT54sBUY1mw9Pxq6bYU1YNtD11qScZ6RWHvBFxVo3g&amp;dib_tag=se&amp;keywords=M4%2Bthreaded%2Binserts&amp;qid=1772421490&amp;s=industrial&amp;sprefix=m4%2Bthreaded%2Binserts%2Cindustrial%2C139&amp;sr=1-4&amp;th=1</t>
  </si>
  <si>
    <t>cc</t>
  </si>
  <si>
    <t>https://www.amazon.com/Fgruh-Washers-Assortment-Stainless-Printer/dp/B0FG2D92BV/ref=sr_1_1_sspa?crid=2YEHDYAMFZWQT&amp;dib=eyJ2IjoiMSJ9.ASU48-LPd6PhHedDxTR13VPTC9YFMb5ZJhAvsuTe_vARqRLs5Tk5UwTSBZZ3HVBUCLBY89aW5uOUCqEBV3zV3qDGKKUJnGevyNweqA8DBBTv7LcdZ9RLGkzR3N7uWn5vBOFUWO__nlCJo3NC6QsgCWQKYz-FP-P_6e2D2C_NbYmDXBmnLlFmTCwKTBHMAF3w9GAg5BbPChuQtUIq0LYB5wmbQoSsEhmFDNsztw3wdFLHTcQDGSi--zOO2T_djjoI0fxCrAr6FavKvoAOdMw9w0ZAICibrF98gIJj5Jkaf_8.elkRCZfKZK1BK_Cnjy3LZ-DadiiNffbkhKYNpbXOLTs&amp;dib_tag=se&amp;keywords=M4%2Bscrews&amp;qid=1772422230&amp;s=industrial&amp;sprefix=m%2Bscrews%2Cindustrial%2C104&amp;sr=1-1-spons&amp;sp_csd=d2lkZ2V0TmFtZT1zcF9hdGY&amp;th=1</t>
  </si>
  <si>
    <t>Power Cable (50 ft)</t>
  </si>
  <si>
    <t>https://www.amazon.com/Oxygen-Free-Insulated-Electrical-Automotive-Trailer/dp/B0B6HV5TXQ/ref=sr_1_1_sspa?crid=3L63703ONMUWH&amp;dib=eyJ2IjoiMSJ9.ATCuaEDTxVJWnBiScSLgh9jUDsUzeJjhhshtGdwheWy5cBoyTpmOUwVEgkBUpSXKl4RbyGy7OTu0goBSp60Wlc0TN3WrQyvQHCoRVQT6gu0bcm9bq0sn9JJhZJpu3zlVW1-WAS2e6v4jKbfsgwJ98Y7oCZX8nQVTMMXpv-qOzkdKcYU6YK21mWl2LNBI9j0p0R6DD_DEANlbYyHK8gWNXj1Juv_VVKxWU59fwJMl_bY._Mtx0NAYLxzd5fR1rcy1mm-Sl1ZtXaois5C4gLHVsoY&amp;dib_tag=se&amp;keywords=10%2Bawg%2Bmarine%2Bwire%2B30%2Bft&amp;qid=1771999641&amp;sprefix=10%2Bawg%2Bmarine%2Bwire%2B30%2Bft%2Caps%2C132&amp;sr=8-1-spons&amp;sp_csd=d2lkZ2V0TmFtZT1zcF9hdGY&amp;th=1</t>
  </si>
  <si>
    <t>12V to 5V Converter (Float)</t>
  </si>
  <si>
    <t>https://www.amazon.com/LM2596-Converter-3-0-40V-1-5-35V-Supply/dp/B08NV3JCBC?th=1</t>
  </si>
  <si>
    <t>5V Block</t>
  </si>
  <si>
    <t>https://www.amazon.com/ANMBEST-Terminal-Mounting-Distribution-Amplifier/dp/B0C7PYCZZ4/ref=sr_1_3?crid=3CQQ15IE9N7A8&amp;dib=eyJ2IjoiMSJ9.ev30K9ePMRSrMZuWWfrQU7v2KfH_ECOc5vEwZKNb2hG0DmIcfO3-emdOEeRL7FmF1RedUBiNyl7MYvpPHbKfQiVDKYRj2WXczHCoi96wknPHTWM-GduKQb2AV-99lEnlSjB0rxDf--nhze7Drldc9sJUR0nBDeLhQ7b1lF0yuRsogG7yMz45ciS6s6xIbmPHooycxORkouEKQLavEryvsEKCQEbHBcuGA7h77pxp1qo.gSUOaWzgETUOgwxoVlLuX6qAysrxFZ78T_9pV_ra3hc&amp;dib_tag=se&amp;keywords=power%2Bblock%2Bto%2Bdistribute%2B5V%2Bpower%2Bwires%2B25A&amp;nsdOptOutParam=true&amp;qid=1773855782&amp;sprefix=power%2Bblock%2Bto%2Bdistribute%2B5v%2Bpower%2Bwires%2B25a%2Caps%2C163&amp;sr=8-3&amp;th=1</t>
  </si>
  <si>
    <t>UCB C</t>
  </si>
  <si>
    <t>https://www.amazon.com/11inch-Pigtail-Equipment-Installed-Replacement/dp/B0DLKPWF1G/ref=sr_1_3?crid=S9F9TD9QNNPN&amp;dib=eyJ2IjoiMSJ9.gTA3OAdYBjlRJS0YgK4SKdQzQxii5PckvLLBsz8efQ46vg3-cZrOQsao_fky01Egv4wNr1ImP04CdH_PiIfSt4fXKD3cpgTJblzxI89r5Dv5cKkTQkw52Tcy6p9Kwkp1MPwHAxz5bgHzOB-4d5ztzUxT7z8P5yGaBP-wXf9OirTdFhdMO0GTIs-r5-Sub6ah4Ln3IaHYoepnQOi_xLqrh4rp9IolP4GBVQOuLq75Fd8.9HxedmwDDvEo6lSNNxv-XEKj2KdjdGW-fMGFXvhl86A&amp;dib_tag=se&amp;keywords=usb%2Bc%2Bpower%2Bcable%2Bto%2Bwire%2Bhead&amp;qid=1773856552&amp;sprefix=usb%2Bc%2Bpower%2Bcable%2Bto%2Bwire%2Bhead%2Caps%2C182&amp;sr=8-3&amp;th=1</t>
  </si>
  <si>
    <t>Wagos</t>
  </si>
  <si>
    <t>https://www.amazon.com/Connectors-Avarbuvo-Electrical-Splice-Terminals/dp/B0D8731XH4/ref=bmx_dp_d_sccl_1_2/141-6915545-2564200?pd_rd_w=XAvG3&amp;content-id=amzn1.sym.4e69f312-6a4c-4f90-a482-aeea4027b951&amp;pf_rd_p=4e69f312-6a4c-4f90-a482-aeea4027b951&amp;pf_rd_r=B18MVS825WYXYY2FZ6Q1&amp;pd_rd_wg=JIw16&amp;pd_rd_r=ca379266-e46d-4df9-aa35-66f8d8ed586d&amp;pd_rd_i=B0D8731XH4&amp;th=1</t>
  </si>
  <si>
    <t>Wire</t>
  </si>
  <si>
    <t>https://www.amazon.com/VIABRICO-Extension-Lights-Voltage-Connectors/dp/B0B49TQZHV/ref=sr_1_4?crid=2SAZW4MS6LL66&amp;dib=eyJ2IjoiMSJ9.-5pQES_4g60hWRP5std-zgDNUs2fu3epL66DCSeIxIfwQzLD-nREksQZA8HuGkhvzsOtIP8QOrpbhOAiHXko1jLLKz9PT3tVp57VM0RRdgY-my0dsaGxufAEFUhyyJL8-0JxX_ynQAEiqdQWHiOoN8iLoL2Urn3mh88mDq5ZTbxBKzhtKGRwu_D8pvt6g03mBliTxDVNBZOm_UXd-Uj1N8yr69O3dZ8kph2gC4ok5AB47xd2pHr4CSRzyXHyjnSvSnV86KTOlPEGGgXFK_oPfAswJuZcuGe1TzRTYhbwkLc.dTJXkrbkf_Txwv1_Q0eX23fOrZzbKQ0y0xzusV0ii5k&amp;dib_tag=se&amp;keywords=16AWG%2Bwire&amp;qid=1773856983&amp;s=industrial&amp;sprefix=16awg%2Bwire%2Cindustrial%2C218&amp;sr=1-4&amp;th=1</t>
  </si>
  <si>
    <t>12V Blocks</t>
  </si>
  <si>
    <t>https://www.amazon.com/risingsaplings-Position-Terminal-Distribution-Module/dp/B0DBW6XH66/ref=sr_1_10?crid=2RMFUZS9FA89R&amp;dib=eyJ2IjoiMSJ9.oO755sUpWjztvt_2lc_kkCxCJsXejy0jM9ppSsiSjPIXfabd8OoDe2vR4FQ6LljEa7ffWdBaBh7WWepltftpEcauwcSZGB-J3lbKdB90SmhJA2h8VOzgoaL0OuE96os1U1I7b3TTg-FJ7yT_3E6VMn61anmm-Ru8E2e4bVUpjsHwwpBOC-f_ghbcfX9d1WSlAf8ZQewMJUXPrqpHqk4NGTOHZgmiye1BbevmgYjTJ33XT8unuPmQPH58NpSyAMXBGwIVEg4FnVKU-wRSevxIwaYkRCCSAFuKiaNzezRcI0A.P-AoZnPxb2cEBuQryrNcSE32lJ1mXbYN2TkCTRF9lyo&amp;dib_tag=se&amp;keywords=30a+power+distribution+blocks+2*6+16AWG&amp;qid=1773857529&amp;s=industrial&amp;sprefix=30a+power+distribution+blocks+2+6+16awg%2Cindustrial%2C133&amp;sr=1-10</t>
  </si>
  <si>
    <t>Raspberry Pi 5 Active Cooler</t>
  </si>
  <si>
    <t>https://www.amazon.com/Raspberry-Pi-Active-Cooler/dp/B0CLXZBR5P/ref=sr_1_4?crid=1UD1SMVZ84IUM&amp;dib=eyJ2IjoiMSJ9.XcDQF_A3NgYJZjRkehy45NXY3gmsLFyIOJY8YkAhHjQFXZwSTdqhpa05-OKLrVd-TfkRO7H0wOYpTPpngjxhwbmfZOdwZsb2P9_9ICJ3JHhcBB9d8cjxEJWKn_h1tBuhWnHk0r66MFSCjQZUlPXrRUcVWhx_HKzMMrQsDaVcnXivOJJ8UdaOiW0ezp2uQYzQm_-CRpzs4fQI-KWZ4TWpNBJmS6ucpgfPeHeMh9rl-gbhLlZZ5DG3fboa1azV3wVubF0K44Y6F2lvSJ2mukpQEjW8gH-1a7YStlfC3Aoi2ok.Qix50YbwJWJRcL7MZGiEVoVDniPeSXJjdaSnrcQ0QA8&amp;dib_tag=se&amp;keywords=raspberry+pi+5+active+cooler&amp;qid=1775694133&amp;s=electronics&amp;sprefix=raspberry+pi+5+active+coole%2Celectronics%2C138&amp;sr=1-4</t>
  </si>
  <si>
    <t xml:space="preserve">M6 Heated Inserts </t>
  </si>
  <si>
    <t>https://www.walmart.com/ip/26-Pcs-Threaded-Inserts-M6-Brass-Heat-Set-Insert-for-3D-Printing-M6x8x5mm/15698402213?wmlspartner=wlpa&amp;selectedSellerId=571&amp;selectedOfferId=69202D0A2161380584E47F4358CF92FA&amp;conditionGroupCode=1&amp;sid=b4bb494c-d2b0-455d-9cca-1b10d56d42f1</t>
  </si>
  <si>
    <t>Flexible Epoxy Potting</t>
  </si>
  <si>
    <r>
      <rPr>
        <color rgb="FF1155CC"/>
        <sz val="5.0"/>
        <u/>
      </rPr>
      <t>MG Chemicals 832FX-450ML Epoxy Encapsulating and Potting Compound 450ML (15.2 fl oz) Bottle</t>
    </r>
  </si>
  <si>
    <t xml:space="preserve">2x SS Clamp </t>
  </si>
  <si>
    <t>Ordered in person</t>
  </si>
  <si>
    <t xml:space="preserve">1 Lighter </t>
  </si>
  <si>
    <t># of people</t>
  </si>
  <si>
    <t>Item</t>
  </si>
  <si>
    <t>Units</t>
  </si>
  <si>
    <t>Cost per unit</t>
  </si>
  <si>
    <t>Cost per unit + 20%</t>
  </si>
  <si>
    <t>Total cost + buffer</t>
  </si>
  <si>
    <t>Notes</t>
  </si>
  <si>
    <t>1 Flight per person</t>
  </si>
  <si>
    <t>Flight DFW to YYT</t>
  </si>
  <si>
    <t>https://www.expedia.com/Flight-Information?insuranceContinuationToken=TgAAAPA_eyJzZWxlY3RlZE9mZmVyRGV0YWlscyI6W10sInBheWxvYWRJZCI6IjM0ZDlkNzBmLTEwNWItNGZmNy1iZTYwLWMwNTMyYWJhNTA4MyJ9&amp;journeyContinuationId=AQr7BAqjBHY1LXNvcy0xOTQ2OTAzNDEyMTk0MDE0YWJmM2Y5ODkwYTBiZThmOC02LTF-OC5TLjF-QVFvQ0NBRVNCd2pVQkJBQkdBRW9BbGdDY0FGNkEySm1jNGdCaGRMaVhaQUJCYUlCQVU2cUFRY0tBMFJHVnhBQ3NnRUhDZ05aV1ZRUUFRfkFRcHdDallJd1lZQkVnUXhOelU0R0tPeEFTQ1l6Z0VvaWNPUUF6REN4SkFET0VkQUFGZ0JhZ2hUVkVGT1JFRlNSSElJUjA1Qk5VRXdWRWNLTmdqQmhnRVNCREl3TlRJWW1NNEJJSmllQVNqd3g1QURNS3JKa0FNNFIwQUJXQUZxQ0ZOVVFVNUVRVkpFY2doSFRrRTFRVEJVUndxbkFRbzJDTUdHQVJJRU56WTRNUmlZbmdFZy1Na0JLSTc2a0FNd2pfdVFBemhIUUFCWUFXb0lVMVJCVGtSQlVrUnlDRWRPUVRWQk1GUkhDalVJd1lZQkVnTTJNREVZLU1rQklKak9BU2l2X3BBRE1NRF9rQU00UjBBQldBRnFDRk5VUVU1RVFWSkVjZ2hIVGtFMVFUQlVSd28yQ01HR0FSSUVNVEF6TVJpWXpnRWdvN0VCS051QWtRTXdvNEtSQXpoSFFBRllBV29JVTFSQlRrUkJVa1J5Q0VkT1FUVkJNRlJIRWdvSUFSQUJHQUVxQWtGREdBZ2lCQWdCRUFnb0FpZ0RLQVF3RFERMzMzMzNXukAaEggBEg4KB1BUN0gxME0SA1lZWhoiCAISDgoHUFQ2SDU2TRIDWUhaEg4KB1BUMkgzNU0SA1lZWiIBASoFEgMKATJ6BUNvYWNogAEAEkcKGgoKMjAyNi0wNi0yMxIDREZXGgNZWVQwATgCChoKCjIwMjYtMDYtMjgSA1lZVBoDREZXMAI4ARIHEgVDT0FDSBoCEAggAiABMggI5N-_wQYQAQ%3D%3D&amp;marketingChannel=DIRECT</t>
  </si>
  <si>
    <t>Standard fare, saved on checking bags by choosing carry-on</t>
  </si>
  <si>
    <t xml:space="preserve">x guys for 5 nights with 4 guys to a room </t>
  </si>
  <si>
    <t>Guys Hotel Room</t>
  </si>
  <si>
    <t>https://www.expedia.com/St-Johns-Hotels-Sheraton-Hotel-Newfoundland.h25025.Hotel-Information?chkin=2026-06-23&amp;chkout=2026-06-28&amp;x_pwa=1&amp;rfrr=HSR&amp;pwa_ts=1774487577639&amp;referrerUrl=aHR0cHM6Ly93d3cuZXhwZWRpYS5jb20vSG90ZWwtU2VhcmNo&amp;useRewards=true&amp;rm1=a4&amp;regionId=181832&amp;destination=St.+John%27s%2C+Newfoundland+and+Labrador%2C+Canada&amp;destType=MARKET&amp;neighborhoodId=6355173&amp;selected=25025&amp;latLong=47.560543%2C-52.712833&amp;mpo=EC&amp;sort=RECOMMENDED&amp;top_dp=1437&amp;top_cur=USD&amp;gclid=Cj0KCQjwj47OBhCmARIsAF5wUEEOW8bJNHKiJiI3ZVd-fpQL3AUikb1SXFPjNmlyeqNQhM82an7vqbQaAs18EALw_wcB&amp;mctc=10&amp;userIntent=&amp;selectedRoomType=215122664&amp;selectedRatePlan=389017794&amp;categorySearch=any_option&amp;searchId=0f325553-521c-456f-bfe1-be3875a8fce3&amp;rm2=a4</t>
  </si>
  <si>
    <t>Chose more expensive hotel to save on not needing a rental car</t>
  </si>
  <si>
    <t xml:space="preserve">x girls for 5 nights with 4 girls to a room </t>
  </si>
  <si>
    <t>Girls Hotel Room</t>
  </si>
  <si>
    <t>1 car per person for 5 days</t>
  </si>
  <si>
    <t xml:space="preserve">Parking </t>
  </si>
  <si>
    <t>https://www.theparkingspot.com/reserve#/?airport=DFW&amp;checkIn=2026-23-6%204:00%20PM&amp;checkOut=2026-28-6%203:00%20PM</t>
  </si>
  <si>
    <t>6 to meet minimum order</t>
  </si>
  <si>
    <t xml:space="preserve">Team Uniforms </t>
  </si>
  <si>
    <t>https://www.customink.com/ndx/?PK=945107&amp;SK=945100&amp;prefer_singles=false#/next/summary</t>
  </si>
  <si>
    <t>Average milage to DFW * Number of people</t>
  </si>
  <si>
    <t>Cost/Mile</t>
  </si>
  <si>
    <t>Gas</t>
  </si>
  <si>
    <t>Part name</t>
  </si>
  <si>
    <t>#</t>
  </si>
  <si>
    <t>Specs</t>
  </si>
  <si>
    <t xml:space="preserve">Quantity </t>
  </si>
  <si>
    <t>Cost</t>
  </si>
  <si>
    <t>Justification</t>
  </si>
  <si>
    <t>Supplier</t>
  </si>
  <si>
    <t>Total Cost</t>
  </si>
  <si>
    <t>XLamp® XHP70.2 LEDs</t>
  </si>
  <si>
    <t>Lighting system</t>
  </si>
  <si>
    <t>Efficient at dissipating heat, view angle of 120 degrees, high tolerance to heat, compact, similar lighting system that previous teams used but newer model</t>
  </si>
  <si>
    <t>here</t>
  </si>
  <si>
    <t>DigiKey</t>
  </si>
  <si>
    <t>Arduino</t>
  </si>
  <si>
    <t>Starting Kit</t>
  </si>
  <si>
    <t>Building, testing, and operation of various circuits and breadboards</t>
  </si>
  <si>
    <t>http://tinkersphere.com/boards/1443-ardx-arduino-kit-nyc.html?srsltid=AfmBOop4V8SDk537LVijiZ3Lr31s4gKDQ2mQg0XKaAxF_Y3Kxkngl4Vbf5k&amp;gQT=3</t>
  </si>
  <si>
    <t>Tinkersphere</t>
  </si>
  <si>
    <t>Wiring</t>
  </si>
  <si>
    <t>250ft</t>
  </si>
  <si>
    <t>14/2 wire</t>
  </si>
  <si>
    <t>Wiring the electrical components of the submersible</t>
  </si>
  <si>
    <t>https://www.homedepot.com/p/Southwire-250-ft-14-2-Romex-SIMpull-Solid-NM-B-W-G-Wire-28827469/202019377?source=shoppingads&amp;locale=en-US&amp;gStoreCode=6559&amp;gQT=1</t>
  </si>
  <si>
    <t>Home Depot</t>
  </si>
  <si>
    <t>Adafruit 9-DOF Absolute Orientation IMU Fusion Breakout - BNO055</t>
  </si>
  <si>
    <t>IMU</t>
  </si>
  <si>
    <t>Checks Orientation of ROV</t>
  </si>
  <si>
    <t>https://www.adafruit.com/product/2472?</t>
  </si>
  <si>
    <t>Adafruit</t>
  </si>
  <si>
    <t xml:space="preserve">
MS5803-07BA High Resolution 24-Bit Altimeter and Temperature Sensor ±.8°C I2C Mini Module</t>
  </si>
  <si>
    <t>Pressure/Temperature Sensor</t>
  </si>
  <si>
    <t xml:space="preserve">Detects the temperature and pressure, which allows for the calculation of depth
and can monitor the system's health </t>
  </si>
  <si>
    <t>https://store.ncd.io/product/ms5803-07ba-high-resolution-24-bit-altimeter-and-temperature-sensor-%c2%b1-8c-i2c-mini-module/</t>
  </si>
  <si>
    <t>NCD</t>
  </si>
  <si>
    <t xml:space="preserve">
SOS Leak Sensor</t>
  </si>
  <si>
    <t>Leak sensor</t>
  </si>
  <si>
    <t>detect water leaking into an improperly sealed Watertight Enclosure,
preventing major dmg</t>
  </si>
  <si>
    <t>https://bluerobotics.com/store/sensors-cameras/leak-sensor/sos-leak-sensor/</t>
  </si>
  <si>
    <t>Blue Robotics</t>
  </si>
  <si>
    <t>3D Printing Filament PETG</t>
  </si>
  <si>
    <t>Filament</t>
  </si>
  <si>
    <t>Creating units to house parts, 100% Infill (Cost is based on previous teams spending)</t>
  </si>
  <si>
    <r>
      <rPr>
        <rFont val="Arial"/>
        <color rgb="FF1155CC"/>
        <u/>
      </rPr>
      <t>https://www.amazon.com/Filament-Printer-Printing-Materials-CC3D/dp/B09B4XFJQ9</t>
    </r>
    <r>
      <rPr>
        <rFont val="Arial"/>
      </rPr>
      <t>9</t>
    </r>
  </si>
  <si>
    <t>Amazon</t>
  </si>
  <si>
    <t>Low Light Camera</t>
  </si>
  <si>
    <t>Low light, USB</t>
  </si>
  <si>
    <t>For sensing obstructions and mapping the aquious environment</t>
  </si>
  <si>
    <t>https://www.waveshare.com/ov2710-2mp-usb-camera-a.htm</t>
  </si>
  <si>
    <t>Waveshare</t>
  </si>
  <si>
    <t>PS5 Controllers</t>
  </si>
  <si>
    <t>Controller</t>
  </si>
  <si>
    <t>Controls the ROV</t>
  </si>
  <si>
    <t>https://www.amazon.com/PlayStation-DualSense%C2%AE-Wireless-Controller-Midnight-5/dp/B0CQKKHT5J/ref=sr_1_3?dib=eyJ2IjoiMSJ9.IAkw8O781NtuHezztbzFd_WTpKJJViJtJJhJMXOFtqzMnxkGDObZWXa7W_po5OnC37AhbDiYrOyIBV1nIbTYUQ8BDw9y2qQ59-kMnDiO2NQRXi4seCobRwJAspN8wVVPZq0UXJPc7hYza5EdyKsp3RsBoU4PLMoTBxAF61hlutZ8VmPolfIT7jZ5gdElVZqJCDalKPKxL0HKQgR03sFdd6erII17jpunFjeQOFmVMK0.i_7E8cakxdLlGCTa4O4pYsKE7Mp2od6SSutKD9X7-hM&amp;dib_tag=se&amp;keywords=ps5+controllers&amp;qid=1745716788&amp;sr=8-3</t>
  </si>
  <si>
    <t>Raspberry PI</t>
  </si>
  <si>
    <t>Electrical</t>
  </si>
  <si>
    <t>Controlling and handling signals between subsystems of the submersible</t>
  </si>
  <si>
    <t>https://www.amazon.com/Raspberry-Pi-Pico-RP2040-microcontroller/dp/B092S2KCV2?source=ps-sl-shoppingads-lpcontext&amp;ref_=fplfs&amp;psc=1&amp;smid=A02211013Q5HP3OMSZC7W&amp;gQT=1</t>
  </si>
  <si>
    <t xml:space="preserve">Thermal paste </t>
  </si>
  <si>
    <t>Miscellaneous</t>
  </si>
  <si>
    <t xml:space="preserve">To help with cooling </t>
  </si>
  <si>
    <t>https://www.amazon.com/ARCTIC-MX-4-2019-Performance-Durability/dp/B07L9BDY3T/ref=sr_1_3?dib=eyJ2IjoiMSJ9.XdHojuA2KARt-qJX486zi3ivuy8PNv0ISnOFra1DMTu9ahCKhWCeUSRVezNty3cASotvFP-RJb4hwJeBQolcmFdfIwPyGYrmFB6DNu1C1uFk7uNtSyf0F9yuoWd7s1nP6jcg6CE32YX4gNMTpqCMTuTf61po_Xh8p4czJ0mOJ45UWlmJBfoZB7_Q8E4G5R8dQZJoN7t6wDlYumC6MsU__2My4lvBH28QvJzEpv3414U.y122dKLXO1tCOI6aRUcdzlfrZE9URjllgqNSoyp4lko&amp;dib_tag=se&amp;keywords=thermal+paste&amp;qid=1745718923&amp;sr=8-3</t>
  </si>
  <si>
    <t xml:space="preserve">Gallon Bins </t>
  </si>
  <si>
    <t xml:space="preserve">To store everything </t>
  </si>
  <si>
    <t>https://www.walmart.com/ip/Sterilite-Medium-Tote-Plastic-Adult-Blue-Ash/9406368583?wmlspartner=wlpa&amp;selectedSellerId=0&amp;selectedOfferId=1E9F3B2F1DC83872A0833FFA46757152&amp;conditionGroupCode=1&amp;wl13=446&amp;gclsrc=aw.ds&amp;adid=222222222779406368583_117755028669_12420145346&amp;wl0=&amp;wl1=g&amp;wl2=c&amp;wl3=501107745824&amp;wl4=pla-394283752452&amp;wl5=9027902&amp;wl6=&amp;wl7=&amp;wl8=&amp;wl9=pla&amp;wl10=8175035&amp;wl11=local&amp;wl12=9406368583&amp;veh=sem_LIA&amp;gclsrc=aw.ds&amp;gad_source=1&amp;gad_campaignid=12420145346&amp;gbraid=0AAAAADmfBIqUo0WN5X0iCmaqbPD3YWtOo&amp;gclid=Cj0KCQjwiLLABhCEARIsAJYS6umQGwMx1-2unA2CxkwpJXA0w3yDLxZdGMW-PzSyxVpEHG_e1olBce8aAsPPEALw_wcB</t>
  </si>
  <si>
    <t>Walmart</t>
  </si>
  <si>
    <t>HDPE</t>
  </si>
  <si>
    <t>Frame</t>
  </si>
  <si>
    <t>1/4" Black HDPE 48" x 96" for a lightweight and stable robot</t>
  </si>
  <si>
    <t>https://shapesplastics.com/hdpe-1-4-black-48-x96?srsltid=AfmBOopWFBefjdDpIBo0pmKsJEHCxwb_zsd8r6-51rIg5aPzoFAELTeT</t>
  </si>
  <si>
    <t>SHAPES Plastics</t>
  </si>
  <si>
    <t>Polycarbonate</t>
  </si>
  <si>
    <t>Electronic Housing</t>
  </si>
  <si>
    <t>Transparent housing that is durable and lightweight</t>
  </si>
  <si>
    <t>https://www.amazon.com/Polycarbonate-Lexan-Sheet-Clear-0-250/dp/B07KCYC7K7?source=ps-sl-shoppingads-lpcontext&amp;ref_=fplfs&amp;psc=1&amp;smid=A3IV1K6AIIMQ19</t>
  </si>
  <si>
    <t>T200 Thruster</t>
  </si>
  <si>
    <t>Propulsion</t>
  </si>
  <si>
    <t>Increase number of thrusters for a better control of the rov</t>
  </si>
  <si>
    <t>https://bluerobotics.com/store/thrusters/t100-t200-thrusters/t200-thruster-r2-rp/</t>
  </si>
  <si>
    <t>Manipulator Air Pneumatic Gripper Clamp</t>
  </si>
  <si>
    <t xml:space="preserve">Pneumatics </t>
  </si>
  <si>
    <t>Rov will need to interact with surroundings in order to score more points. Great gripping force will be needed</t>
  </si>
  <si>
    <t>https://www.amazon.com/XUNCHAO-Manipulator-Pneumatic-Automation-Scissors/dp/B0D7W1Z19F?th=1</t>
  </si>
  <si>
    <t xml:space="preserve">Waterproof Testing </t>
  </si>
  <si>
    <t xml:space="preserve">Sealing and waterproofing </t>
  </si>
  <si>
    <t>https://bluerobotics.com/store/cables-connectors/tools/loctite-marine-epoxy/</t>
  </si>
  <si>
    <t>Watertight Enclosure Spare O-Ring Set</t>
  </si>
  <si>
    <t>Sealing and waterproofing (Dimensions are an estimation)</t>
  </si>
  <si>
    <t>https://bluerobotics.com/store/watertight-enclosures/locking-series/spare-o-ring-set/</t>
  </si>
  <si>
    <t>Buoyancy foam</t>
  </si>
  <si>
    <t>Buoyancy</t>
  </si>
  <si>
    <t>To achieve neutral buoyancy</t>
  </si>
  <si>
    <t>https://www.amazon.com/TotalBoat-Urethane-Density-Flotation-Reinforcement/dp/B01AAWRYZG/ref=sr_1_1_sspa?crid=28GBOLDX54W40&amp;dib=eyJ2IjoiMSJ9.QQ-Bo6KTdOYjZigjFBtR3nhbawJxHwbBLnZress1IgXpZErLQasLLdCqWx1N8P_VQbuGV1MA5LSPiDlUEFVBQCJL2QtlY1Hm_FZoIEvuXehgCemH37iwmrXDFSopWE4MLuzfVmHG0_W2_1dvFId9rqKZcxafAXP1RnOD1oDgo7gTKhssc_HW6EdRcwo_cCezgZ-2jj4aqW1bPkRenrpbNPF7k3gzzdxXI5sZqc78k07iiGNKvIIfQ8t8h9Eqet3PiWugPwtViNdZypD3OoFq5oKMuZVwJLxXUunDiiwnm1Q.KAnHPUIG1TTEpz2mOfePB-_CiSzAtuiEC9Y-fwAdmFU&amp;dib_tag=se&amp;keywords=buoyancy%2Bfoam&amp;qid=1745724608&amp;sprefix=buoyancy%2Bfoam%2Caps%2C160&amp;sr=8-1-spons&amp;sp_csd=d2lkZ2V0TmFtZT1zcF9hdGY&amp;th=1</t>
  </si>
  <si>
    <t>Pelican case</t>
  </si>
  <si>
    <t>Good for keeping electronics safe</t>
  </si>
  <si>
    <t>https://www.amazon.com/Pelican-1120-Case-Foam-Black/dp/B0051QIBUE/ref=asc_df_B0051QIBUE?mcid=b0e3acc88fcf3e8ba43fcfa39289f819&amp;hvocijid=12967247616519889402-B0051QIBUE-&amp;hvexpln=73&amp;tag=hyprod-20&amp;linkCode=df0&amp;hvadid=721245378154&amp;hvpos=&amp;hvnetw=g&amp;hvrand=12967247616519889402&amp;hvpone=&amp;hvptwo=&amp;hvqmt=&amp;hvdev=c&amp;hvdvcmdl=&amp;hvlocint=&amp;hvlocphy=9027902&amp;hvtargid=pla-2281435179018&amp;th=1</t>
  </si>
  <si>
    <t>Sanuke 1100gph Bilge Pump</t>
  </si>
  <si>
    <t>Multiple uses: Water sampling system, gripper, thruster replacement, possible ballast pumps</t>
  </si>
  <si>
    <t>https://www.amazon.com/dp/B07VKMTC9J?ref=cm_sw_r_cso_cp_apin_dp_95T033YPAA3EVBQH328D_1&amp;ref_=cm_sw_r_cso_cp_apin_dp_95T033YPAA3EVBQH328D_1&amp;social_share=cm_sw_r_cso_cp_apin_dp_95T033YPAA3EVBQH328D_1&amp;previewDoh=1&amp;th=1</t>
  </si>
  <si>
    <t>WetLink Cable Splice Kit</t>
  </si>
  <si>
    <t>Tether</t>
  </si>
  <si>
    <t>To create waterproof, high-pressure cable connections</t>
  </si>
  <si>
    <t>https://bluerobotics.com/store/cables-connectors/tools/wlp-splice-kit/</t>
  </si>
  <si>
    <t>WetLink Penetrator</t>
  </si>
  <si>
    <t>Necessary for the usage of WetLink Cable Splice Kit</t>
  </si>
  <si>
    <t>https://bluerobotics.com/store/cables-connectors/penetrators/wlp-vp/</t>
  </si>
  <si>
    <t>Fasteners</t>
  </si>
  <si>
    <t>bolt and nut sets, washers, etc (Cost is an estimation)</t>
  </si>
  <si>
    <t>-</t>
  </si>
  <si>
    <t>Waterproof Electrical Connectors</t>
  </si>
  <si>
    <t xml:space="preserve">Extra waterproof connectors </t>
  </si>
  <si>
    <t>https://www.amazon.com/Twippo-Waterproof-Automotive-Electrical-Connectors/dp/B0CBJV2WSM?source=ps-sl-shoppingads-lpcontext&amp;ref_=fplfs&amp;smid=AHGXJUM4CYRPV&amp;gPromoCode=7752725675827534477&amp;gQT=1&amp;th=1</t>
  </si>
  <si>
    <t>Zip ties</t>
  </si>
  <si>
    <t>Cable management</t>
  </si>
  <si>
    <t>https://www.amazon.com/HS-Durable-Plastic-Bulk-1000-Self-Locking/dp/B07WRY1HM4/ref=sr_1_1_sspa?dib=eyJ2IjoiMSJ9.yZ0eRA1tzbb2B37cITr4PFEQrpSrSR8wjzUCqbHqrPtNYzPuvWN_NTB20TVTQ8NZdXG9POIeo4siAJsC4FKQ1As1QmJjjb5XwFacdxFgzJBVzfqyo3OC9WYl9TtGddKodLbzVvERyH5nW4KDhrg6eoi3RG-S2p-dhcPHXaVb2pYUonpqHo40g10Bcy1eWK2NmdP5U0oDs999XgieSKb1ZdGuK8MybTfV53s2dJqeDCw.Nv0fu0Im-t5-XWePnp3b8qo-e1zYasJ1cif97v8h6NY&amp;dib_tag=se&amp;keywords=zipties&amp;qid=1745727786&amp;sr=8-1-spons&amp;sp_csd=d2lkZ2V0TmFtZT1zcF9hdGY&amp;psc=1</t>
  </si>
  <si>
    <t>Heat shrink Tubing</t>
  </si>
  <si>
    <t>https://www.amazon.com/Shrink-Tubing-Industrial-Heat-Shrink-Wires/dp/B0BG6V4HV4?source=ps-sl-shoppingads-lpcontext&amp;ref_=fplfs&amp;smid=AAIRS2YRRR941&amp;gQT=1&amp;th=1</t>
  </si>
  <si>
    <t>Air Compressor</t>
  </si>
  <si>
    <r>
      <rPr/>
      <t>Supply air to the system (</t>
    </r>
    <r>
      <rPr>
        <color rgb="FF1155CC"/>
        <u/>
      </rPr>
      <t>follows mate rov's guidelines</t>
    </r>
    <r>
      <rPr/>
      <t>)</t>
    </r>
  </si>
  <si>
    <t>https://www.amazon.com/AstroAI-Compressor-Light%EF%BC%8CAutomotive-Accessories-mattresses/dp/B0C1GL5T7G/ref=sxin_17_pa_sp_search_thematic-asin_sspa?content-id=amzn1.sym.28ebef30-5c08-47b8-ab3b-cb02618e9d16%3Aamzn1.sym.28ebef30-5c08-47b8-ab3b-cb02618e9d16&amp;crid=RBOBWP0IZBT3&amp;cv_ct_cx=air%2Bcompressor%2Bportable&amp;keywords=air%2Bcompressor%2Bportable&amp;pd_rd_i=B0C1GL5T7G&amp;pd_rd_r=f38a5c48-e98b-4f0b-b951-de5143b62eae&amp;pd_rd_w=jnKV8&amp;pd_rd_wg=13OD7&amp;pf_rd_p=28ebef30-5c08-47b8-ab3b-cb02618e9d16&amp;pf_rd_r=MH8DF9E5G4ZXG6CNRHSW&amp;qid=1745728824&amp;sbo=RZvfv%2F%2FHxDF%2BO5021pAnSA%3D%3D&amp;sprefix=air%2Bcom%2Caps%2C150&amp;sr=1-1-baa1f287-65d3-41a3-a655-8bbba0531537-spons&amp;sp_csd=d2lkZ2V0TmFtZT1zcF9zZWFyY2hfdGhlbWF0aWM&amp;th=1</t>
  </si>
  <si>
    <t>Pneumatic Valves</t>
  </si>
  <si>
    <t>To control Air flow</t>
  </si>
  <si>
    <t>https://www.amazon.com/BLCH-PNEUMATIC-Solenoid-Pilot-Operated-Connection/dp/B0DHPL43L7/ref=sr_1_1_sspa?dib=eyJ2IjoiMSJ9.txHgkzwciJCy9u4dRJT4AOGqDUNVAo35cqZKth6uDPTTQ4SjrHB4316q3KIFUfeeiTGWEi6pFr9Znodq6GIUr44t3rVpaJAw-D8s-UST2Wt5pQHuuzM51UoIOR7kCVGzlGxtN_biUaBaCHcPEQcgTOdyr1Xro7E7TsyHhI3XyssSeSVFlH2UbfUuwRMtTYmf8XqUksOSLXwah2m_R4CgMk0RXpq3CTCkLpv5cEEQatE.9SoThm0K7EmEzR25peoMYFBt8ZmNnvGuWaAjhdvW3hQ&amp;dib_tag=se&amp;keywords=Pneumatic%2BValves&amp;qid=1745729516&amp;sr=8-1-spons&amp;sp_csd=d2lkZ2V0TmFtZT1zcF9hdGY&amp;th=1</t>
  </si>
  <si>
    <t>Pneumatic Cylinder</t>
  </si>
  <si>
    <t xml:space="preserve">Used for linear motion </t>
  </si>
  <si>
    <t>https://www.amazon.com/Baomain-Pneumatic-Cylinder-SC-63-700/dp/B07ZS7NY3N?utm_source=chatgpt.com</t>
  </si>
  <si>
    <t>Pressure Relief Valve</t>
  </si>
  <si>
    <t>Pressure Relief</t>
  </si>
  <si>
    <t>Relief pressure in housing</t>
  </si>
  <si>
    <t>https://bluerobotics.com/store/watertight-enclosures/enclosure-tools-supplies/prv-m10-asm/</t>
  </si>
  <si>
    <t>Power Sense Monitor</t>
  </si>
  <si>
    <t>PSM</t>
  </si>
  <si>
    <t>Monitors power output and current battery level</t>
  </si>
  <si>
    <t>https://bluerobotics.com/learn/power-sense-module-psm-installation/</t>
  </si>
  <si>
    <t>Johnson Pumps 05503-00 12V 500 GPH</t>
  </si>
  <si>
    <t>Thruster</t>
  </si>
  <si>
    <t>Extra Thruster incase of test failure</t>
  </si>
  <si>
    <t>https://www.amazon.com/Johnson-Pump-Cartridge-Combo-550GPH/dp/B005BTAVD6/ref=sr_1_4?adgrpid=1341405801776282&amp;dib=eyJ2IjoiMSJ9.zfKWRRORTbynShSoqFhd8NEypziE4LcqhOzqKS2xFXQi5rBbcADXyhbi8Jvpqo00A5QFxrskBtP6_cscC_zfQaEDMYWswF3maeHJN_8OEyR9CyL2uwVPBXo8fcIYvj2YBH-ZPDCu7fHNXDmWgglGvScExAoSqluCuC7LSdub57-1KpaPOx_GC3WyltHlqeuZTJzp_7DXyGeUoo_lpB73l4RUruqqOpRxJjLh9idzgKV2NEqBELJ5WlcXFiwwO3RDg6FO9stbv7zUPXzMTAKpQqeW0se2fNdKDNX18bgzCtQ.whY6KAmVmtMxOhbEv5Owmwngja7bTQg_ZyVpv6GQYEE&amp;dib_tag=se&amp;hvadid=83838118111825&amp;hvbmt=bp&amp;hvdev=c&amp;hvlocphy=65831&amp;hvnetw=o&amp;hvqmt=p&amp;hvtargid=kwd-83838856934411%3Aloc-190&amp;hydadcr=9462_13531221&amp;keywords=500+gph+johnson+pump&amp;mcid=4daf058062b4381e8fc8ec51d424b254&amp;msclkid=bf1008395fbe1fce3a306034e8f2465e&amp;qid=1745729358&amp;sr=8-4</t>
  </si>
  <si>
    <t>Waterproof Heat Shrink Electrical Connectors</t>
  </si>
  <si>
    <t>connects electrical cables and waterproofs them</t>
  </si>
  <si>
    <t>https://www.amazon.com/Kuject-Connectors-Waterproof-Electrical-Automotive/dp/B073RMRCC3/ref=sr_1_3?dib=eyJ2IjoiMSJ9.BWUBEMGPEW1_1hzOVmlYqgGiOyEGL1jrdJCpmgLYW7QZbUqp0SLw0XJuUBamnYq5aLjENdx_ksOhIyvB27Y4wpVwnCtUTa3hh8FobhvnSfYjf59wHNF37B5zf7TngoFDGP2m1sX3Z3z978pau_z1JwdbWfATV2vpHFzERdP9UXT5t7uF73zul-ZlcbGezJ0AP7wYrl1ZAM9J0Uv-rXKn2AGYg0aMuLvFK6vySp9Wcug.Hj7fSNmhitg1CwaUZz_kjpYLVGjPbct_MwNr4juu1BA&amp;dib_tag=se&amp;keywords=wire%2Bconnectors%2Bwaterproof&amp;qid=1745756631&amp;sr=8-3&amp;th=1</t>
  </si>
  <si>
    <t xml:space="preserve">PU Tubing </t>
  </si>
  <si>
    <t>For connecting pneumatic components</t>
  </si>
  <si>
    <t>https://www.amazon.com/PneumaticPlus-4-Inch-Tubing-100Foot-Compressor/dp/B00B04UAIC/ref=sr_1_2_sspa?dib=eyJ2IjoiMSJ9.cbdBPcEDWI9Zi1G9dmufpf8B1RoIJXW-4sO1HvjpFhJ80ArkgzC4rVzW2EFYoapshxTkJNCFo8qXRIVC4Mp-B9cm662R_zvcKbPl_eJWd-Z5Bb029c2AEW4bIk3nKC_FOTJpKWsnwUJNa309Mrp4IpD3iJcKEt1eOI9aYNS2ut6o2XrZsBiAQVHk7lDU06y9R_SdZl_Y-m6HGqas1UUvGrJWRbu55KNjj5F4-uzHN4U.GxV5rJ1HR4cc38FIaiCsJ9xJmKT09GbmVwfbHzUd3_Y&amp;dib_tag=se&amp;keywords=Polyurethane%2B(PU)%2BTubing&amp;qid=1745759376&amp;sr=8-2-spons&amp;sp_csd=d2lkZ2V0TmFtZT1zcF9hdGY&amp;th=1</t>
  </si>
  <si>
    <t xml:space="preserve">Pressure Regulator </t>
  </si>
  <si>
    <t xml:space="preserve">To protect our components. Safety measure </t>
  </si>
  <si>
    <t>https://www.amazon.com/SNS-AR2000-N02-Pressure-Regulator-Adjustable/dp/B0895G3FZ3/ref=sr_1_2_sspa?crid=3L18RQLG73EVE&amp;dib=eyJ2IjoiMSJ9.CkE1mQbOtIUrCXsvovRjdtUMX1ZbwnjP25aqreeXnggUvEsKdzSMcgUL0FtqgVlz1l-NwTT3v_h_Q5mML1Rr_lPHDq4m4mrxhPH9jKtj-mQLmQF3wu7ohZs_TUb2QVDTnm2yiUx2ZtFJgUvUuexdp2qKRZZ2GtRzAtXcZrTEqVKVf1zD_slQ_i-hQUcfLZpA1JIwYdagtjdwWnxASU8HRQuvlK-DoqzFWSQv0g5pnJtUeaPqyHrRLdBWLuJIFGbpUa3b2OU0JDE7kdPrtS-R2Ac-kRUg9o4XquSz5p7skao.63pJQP-CtMGH6dvT6HKEDMmQOTnBdSELg47Vrba9YIs&amp;dib_tag=se&amp;keywords=Pressure%2BRegulator&amp;qid=1745759542&amp;sprefix=pressure%2Bregulator%2B%2Caps%2C196&amp;sr=8-2-spons&amp;sp_csd=d2lkZ2V0TmFtZT1zcF9hdGY&amp;th=1</t>
  </si>
  <si>
    <t>Waterproof labels</t>
  </si>
  <si>
    <t>Cable management and easy troubleshooting, also for organizing station</t>
  </si>
  <si>
    <t>https://www.amazon.com/Premium-Label-Supply-Waterproof-Address/dp/B0DNGCYVPF/ref=sr_1_1_sspa?crid=P4BDUL1V5VM0&amp;dib=eyJ2IjoiMSJ9.XyN1Agt7OF1kZMiJ6exkPO-51mKaV4xa-pDSm1iVWm0xwc7liCo-Q1s3juzoY8Gvz3HNQribmzpcSVUsMmcUh7LmCErdmlR2ROQwrA9M076OwKIOWCxmOl4j-HyfVTg90hITnzjZqiJKYzLqs4sX9EiCeyZow7WPfVNVeZyn-G6z4vmdXe0zskMcN_MoiexCFx-LRZoPLG8MuRtfE3JeGpPhbHkxG0pwxvPsrvs6MwHJysJ-xfnmxZz-I8bhreF99_WmzeE8cAfxHVGe50l0DGZp5gFkYrIfjCXUM0Yc99M.8L7ozYQBNFbjRIeSrL13UkTbdCfIcS93kc0OxHNzvX0&amp;dib_tag=se&amp;keywords=waterproof%2Blabels&amp;qid=1745759981&amp;sprefix=waterproof%2Blabel%2Caps%2C158&amp;sr=8-1-spons&amp;sp_csd=d2lkZ2V0TmFtZT1zcF9hdGY&amp;th=1</t>
  </si>
  <si>
    <t xml:space="preserve">Silicon Grease </t>
  </si>
  <si>
    <t>Lubricating seals and O rings</t>
  </si>
  <si>
    <t>https://www.amazon.com/Waterproof-Silicone-Lubricant-Plumbers-Sealant/dp/B0BN82TPY4/ref=sr_1_1_sspa?crid=1RNZAVIS0TT2I&amp;dib=eyJ2IjoiMSJ9.I4Rkg_omSfyVHffQyC5OC09iUgBmEy7_T_iWLfst3qhgW2n0ZNEL7gli71P__zQuJuvcgYJZqxeDIZlVcwjUZ0wdTT0xuJO0aR3pG9DXLfZiCvoNYGf_3tj45fxiyRhWiXNP7f6IW-v6zErwIzsYwfpMyBxl5EJN-JJKRcdAn2OZ0qkLB4iBiOZHZG-l5vmDBzx67Ec-00ytKzkfXdMmgdvLBJr-uYooT-B5_tG6r40.2gwmsR15wcgK7XLZgUoTnTz8AISDRW6tLDFHHRMYEjw&amp;dib_tag=se&amp;keywords=silicone+grease+for+o+rings&amp;qid=1745759842&amp;sprefix=Silicone+grease%2Caps%2C202&amp;sr=8-1-spons&amp;sp_csd=d2lkZ2V0TmFtZT1zcF9hdGY&amp;psc=1</t>
  </si>
  <si>
    <t xml:space="preserve">Solenoid </t>
  </si>
  <si>
    <t>Switches for the control airflow</t>
  </si>
  <si>
    <t>https://www.amazon.com/Beduan-Normally-Closed-Electric-Solenoid/dp/B07N2DZ5FP/ref=sr_1_3?dib=eyJ2IjoiMSJ9.7XesqP_pvELD9wcbWS2AtfQKd9LgkNi_tYTelQ0kyoNUDyTPAzVFvpHNRefVyJ8j1thM-tuJKmcKBuJzeYbumGhscVq4eBpE52vSBvVACw6dyCWWE0V55z3BOowrcRePKDz6hnRwc3iS9f2Pabhn8xQ-jY72bum3V-3hCsMGrKCHGenMGbH1oDFLWkd8gS3JamtI7r_lAKnRE4ZgMO43AAbQfAnriHsUsIz1unB_AVQ.1qbw0id5ToHGmk3Le9mlVNOK8D30iAZKFJN74-CKTRc&amp;dib_tag=se&amp;keywords=Electric%2BSolenoid%2BValve%2B12V%2BDC%2B1%2F8%22%2BNPT%2B2%2BPosition%2B5%2BWay&amp;qid=1745760112&amp;sr=8-3&amp;th=1</t>
  </si>
  <si>
    <t>Elbow fitting</t>
  </si>
  <si>
    <t xml:space="preserve">Joining pneumatic components </t>
  </si>
  <si>
    <t>https://www.amazon.com/Degree-Barstock-Fitting-CX-WONDERLAND/dp/B0BCZFCFQ7/ref=sr_1_1_sspa?crid=29A3S6AJTYAQ0&amp;dib=eyJ2IjoiMSJ9.hq4Wrqk5kgBlvbH_AmJGzAvWDT3TyEzKe50fOAKhYVBZNE0ZFxFgYptrXb5CSjJ5KHrCbNynvohWl3PnZTUsF39uq8RKyJZRXYUcM8bTrsFcFpHGcuTUJOIqNXz0xq2os0dnpfk8n3MjOX2SLzdQ0uQNSC15PcIz6HOthSkPprkTT03t7eTYMPXZYVG-ZoPlvtyzZuUBIG-_j4mTQEE_ck6NCN6QqFoP1dPVBh_ccoA.kRF1BbDXTebsFcF-vd8rIUnJ_k7r4nZ2-25ViX51sD4&amp;dib_tag=se&amp;keywords=Elbow%2Bfitting%2B(90%C2%B0)&amp;qid=1745760431&amp;sprefix=elbow%2Bfitting%2B90%2B%2Caps%2C137&amp;sr=8-1-spons&amp;sp_csd=d2lkZ2V0TmFtZT1zcF9hdGY&amp;th=1</t>
  </si>
  <si>
    <t xml:space="preserve"> Tee Fittings</t>
  </si>
  <si>
    <t>https://www.amazon.com/Joywayus-Fittings-T-Shaped-Fitting-Stainless/dp/B082KRLRM7/ref=sr_1_3?dib=eyJ2IjoiMSJ9.h_a8PvmntT5XCrtdyuzQvCG5RC5R37hz7mXhDGFUCJbsDBddCcYkBWnAqpjvV3p99Pzfvo-rpDfq24ccY_saGNYHdh9pit9acIzOK3IFBxCG-5fMW-3mg_e-XZ8xG27XKeCKg9blfVRLZ0RskaFho6rGQDm8rSLxY9gEI5OwsMXOkZLkJ_vjssnGyY13wm-tV_ye0o_aRxAw5N1_JEH7Uv4J6JUK-cC-HufXdsM21X4.IFLye8tHHXUzlxT5b7cgMs9AXS30N75BieVt7fx47Lo&amp;dib_tag=se&amp;keywords=Tee%2Bfitting&amp;qid=1745760418&amp;sr=8-3&amp;th=1</t>
  </si>
  <si>
    <t xml:space="preserve">Straight Connector </t>
  </si>
  <si>
    <t>https://www.amazon.com/PneumaticPlus-PUC-1-Connect-Fitting-Straight/dp/B01N8P0NV4/ref=sr_1_2_sspa?dib=eyJ2IjoiMSJ9.d0Bcpaq7MWESoUs9z2DA0UyQzfOZw1EDYaU8vnmw6PK6a8sJ1cIPAoI7XAfE4vl1aQhDPoYzbMNmEa2TErYSab4aR4jXr7UDy0M0SKr5Jx4IdoiQ-CJ16ot3T-c1OwvnDjFLstFDAf3iRNpVN7xKXYSQXrXucJBbCkjiS1VbuuRaOF0WEqF8b7knctBpusbB.KTb4nlN89aosyM7AZ0sAtf20VPHMh8I3sIbG3vdhiTI&amp;dib_tag=se&amp;keywords=Straight%2Bconnector%2Fcoupler&amp;qid=1745760594&amp;sr=8-2-spons&amp;sp_csd=d2lkZ2V0TmFtZT1zcF9hdGY&amp;th=1</t>
  </si>
  <si>
    <t xml:space="preserve">Desiccant packets </t>
  </si>
  <si>
    <t xml:space="preserve">Waterproof and Safety </t>
  </si>
  <si>
    <t>https://www.amazon.com/Transparent-Desiccant-Packets-Moisture-Electronics/dp/B09DSDX4P3/ref=asc_df_B09DSDX4P3?mcid=3a63a71455ae37ee89ed2da22e0d3c8f&amp;hvocijid=16610225785637582540-B09DSDX4P3-&amp;hvexpln=73&amp;tag=hyprod-20&amp;linkCode=df0&amp;hvadid=721245378154&amp;hvpos=&amp;hvnetw=g&amp;hvrand=16610225785637582540&amp;hvpone=&amp;hvptwo=&amp;hvqmt=&amp;hvdev=c&amp;hvdvcmdl=&amp;hvlocint=&amp;hvlocphy=9027902&amp;hvtargid=pla-2281435179818&amp;th=1</t>
  </si>
  <si>
    <t xml:space="preserve">Flexible Conduit </t>
  </si>
  <si>
    <t>Safety measure to keep cables protected</t>
  </si>
  <si>
    <t>https://www.amazon.com/Elecoman-Liquid-Tight-Connector-Electrical-90-Degree/dp/B0CGR33PJF/ref=sr_1_1_sspa?crid=1UJQ1T884TYJS&amp;dib=eyJ2IjoiMSJ9.TGR6E1yyruN5XbvtI40590qddAE4WRJ2exHPcFoXvkTqrwpKjvxhT84a4nRQ0t_efM_4LIs9HW9rlhn7DPZylJH97JehFFmHuLS7qwrSfcnoUshJd1H70N5d-tgWPjFY-xULkExwvihjleBx8LslOlu14hfwm3O9DjLaR21XlZ-rEHn4mMHLEaegGvScJ9p9pzeA9MKTv-nTwqx1-ImSpWgxCD2arC3dEPtCNLgkNvZ1KFnWbTVKGNUzFVMbW_MPNv8vPXkVZsANzfROa3fEVuCp9l2kmWPfvOju2g_VfGA.XCTjr-KgtXVnsudJ-Wkzcj8cPx_d7IaMTzIX9kWkNWY&amp;dib_tag=se&amp;keywords=Flexible%2Bconduit&amp;qid=1745761139&amp;s=industrial&amp;sprefix=flexible%2Bconduit%2B%2Cindustrial%2C167&amp;sr=1-1-spons&amp;sp_csd=d2lkZ2V0TmFtZT1zcF9hdGY&amp;th=1</t>
  </si>
  <si>
    <t>Camera mount</t>
  </si>
  <si>
    <t>Camera</t>
  </si>
  <si>
    <t xml:space="preserve">To stabilize camera </t>
  </si>
  <si>
    <t>https://www.amazon.com/Adapter-Converter-Monopod-Ballhead-Frgyee/dp/B0956Z9MX5/ref=sxin_16_pa_sp_search_thematic_sspa?content-id=amzn1.sym.b747a510-73a1-4cf4-a45b-74fc1ab8af95%3Aamzn1.sym.b747a510-73a1-4cf4-a45b-74fc1ab8af95&amp;cv_ct_cx=Camera%2Bmounts&amp;keywords=Camera%2Bmounts&amp;pd_rd_i=B0956Z9MX5&amp;pd_rd_r=6a292889-e1f6-456d-a320-9d86660ef04f&amp;pd_rd_w=L4BUf&amp;pd_rd_wg=gErXt&amp;pf_rd_p=b747a510-73a1-4cf4-a45b-74fc1ab8af95&amp;pf_rd_r=7VN0JP7XMMG90MPW5QNF&amp;qid=1745761444&amp;sbo=RZvfv%2F%2FHxDF%2BO5021pAnSA%3D%3D&amp;sr=1-1-6024b2a3-78e4-4fed-8fed-e1613be3bcce-spons&amp;sp_csd=d2lkZ2V0TmFtZT1zcF9zZWFyY2hfdGhlbWF0aWM&amp;th=1</t>
  </si>
  <si>
    <t>Toolbox organizer</t>
  </si>
  <si>
    <t>Sorting fasteners and other components</t>
  </si>
  <si>
    <t>https://www.amazon.com/LUGEI%E3%80%90%F0%9D%9F%B0%F0%9D%9F%B2%F0%9D%97%A3%F0%9D%97%96%F0%9D%97%A6%E3%80%91%E3%80%905-Organizer-Organization-Accessories-WorkBench/dp/B0C88PJDYH/ref=sr_1_8?dib=eyJ2IjoiMSJ9.UAiVoS9pyXgxHMJktdEWJH1YSgXVo5AfbLuQaTJ_nKpJ0Fo4yUu-rTOe0fPdvsNA5OGVQ5LFwWdA0BXWatfs7kKp1c58VYbGp9RXDAt1yXxweHeesDkTfHtVHFfzize0QjQZ_D-Kg4e0A8FhCf16cH4ruMpTX32RpnE6nK06DcIONzAx9qVE7_SPsZYDh-mkXBr-CPcUvGsNq8nsisrrw9pmPdfIFHO097BktKNpH-LIgs94ReVUfNPlWLrjSCAYzSsIOAHJ9gWK5I6NLMhwNaRVA0bvsn4WHN1HjSYoYcw.AWNmvQ7Cjp5LuvH1ASEEFstueO7FBTr7olAhPTtQ-x4&amp;dib_tag=se&amp;keywords=Toolbox%2Borganizer%2Bcase&amp;qid=1745761601&amp;sr=8-8&amp;th=1</t>
  </si>
  <si>
    <t>ETX30LA AGM Sea Mate Universal Fit</t>
  </si>
  <si>
    <t>Power Supply</t>
  </si>
  <si>
    <t>Kits do not include batteries</t>
  </si>
  <si>
    <t>https://www.ebay.com/itm/124159993906</t>
  </si>
  <si>
    <t>Ebay</t>
  </si>
  <si>
    <t xml:space="preserve">Buck Converters </t>
  </si>
  <si>
    <t>For any sensor or other low power electronic</t>
  </si>
  <si>
    <t>https://www.amazon.com/Converter-Voltage-Regulator-Supply-Waterproof/dp/B0DQKFZ2BF/ref=sr_1_1_sspa?dib=eyJ2IjoiMSJ9.TyIM3Km8Y9DEAnGxwlpyRRU7wjHX09X2bDB5pap7LMG7K30Od93N1rm-exZZkY2a9SBg6xumLyE6On-Y5x_pCQSDwo42_X7uQapIQkQJlbC4nS2PCNYOn9ctt9c8sMlgyECLnnPwOalRi-tRJssfxjvErqYzUbbQkRdLUl0rEgPUnupwegOEz6QAnsEJ0qfjHW2WILRs4OMXfT7_ECuHm7avLneQ0KL2kOA-NPqtEXU.55SWuRMdYf2xUbJZLSGaYji-m2PllLe3elqYDmmWa4Y&amp;dib_tag=se&amp;keywords=12V%2Bto%2B5V%2Bbuck%2Bconverter&amp;qid=1745762440&amp;sr=8-1-spons&amp;sp_csd=d2lkZ2V0TmFtZT1zcF9hdGY&amp;th=1</t>
  </si>
  <si>
    <t>Battery Monitoring</t>
  </si>
  <si>
    <t>Monitors voltage and current</t>
  </si>
  <si>
    <t>https://www.bluebgi.com/products/p/smart-skipper-battery-mate-bgws-02</t>
  </si>
  <si>
    <t>Blue Guard</t>
  </si>
  <si>
    <t>Hydraulics Kit</t>
  </si>
  <si>
    <t>Provided through previous funds</t>
  </si>
  <si>
    <t>https://seamate.org/products/hydraulics-kit?variant=32763610300487</t>
  </si>
  <si>
    <t>Sea MATE</t>
  </si>
  <si>
    <t>Powerwerx TRIcrimp Powerpole Connector</t>
  </si>
  <si>
    <t>https://seamate.org/products/powerwerx-tricrimp-powerpole-connector?srsltid=AfmBOoomAitthV1RT6Jpwg_jvT9Srh7av96S0dQ73NQU0jpODGLnDeh_</t>
  </si>
  <si>
    <t>Barracuda ROV with Thrusters and Tether (Rev 2)</t>
  </si>
  <si>
    <t>https://seamate.org/products/barracuda-rov-kit-with-thrusters-and-tether?srsltid=AfmBOop2YYBD83ciqiiVSL5Cd0w9_7Qnjma7eRYA6jqoTbxmxpl8D_Ii</t>
  </si>
  <si>
    <t>TriggerFish/Barracuda Video System</t>
  </si>
  <si>
    <t>https://seamate.org/products/triggerfish-barracuda-video-system-kit?variant=41395478560839</t>
  </si>
  <si>
    <t>Powerwerx 12V DC Power Supply w Powerpole outlet + GFCI</t>
  </si>
  <si>
    <t>https://seamate.org/products/powerwerx-12v-dc-power-supply-w-powerpole-outlet-gfci?srsltid=AfmBOoozFzwTnEvVCPXwgNeSgj9oQ9qyu8EdOfO2xfwrromjI1xTmBL9</t>
  </si>
  <si>
    <t>3D printing time Cost per hour</t>
  </si>
  <si>
    <t>Utilization of Filament to create and house parts</t>
  </si>
  <si>
    <t>Entry Fees</t>
  </si>
  <si>
    <t xml:space="preserve">Rapid Prototyping Studio Credits </t>
  </si>
  <si>
    <t>https://tamu.estore.flywire.com/products/rps-credits-228917</t>
  </si>
  <si>
    <t>Competition Registration</t>
  </si>
  <si>
    <t>https://campscui.active.com/orgs/MATEInspirationforInnovation0?e4q=ea819296-cb79-4353-a0ca-03aed1cd3101&amp;e4p=af697b59-9d91-4fb1-99d5-ba9da39d0907&amp;e4ts=1776904574&amp;e4c=active&amp;e4e=snlvcmpscui00001load&amp;e4rt=Safetynet&amp;e4h=b761ca6e016c38d9f222c499aa9bc1ba&amp;newcui=true#/selectSessions/3702340/filter/session=68097340</t>
  </si>
  <si>
    <t>Power Supplies - Chassis Mount 2016W 48V 42A</t>
  </si>
  <si>
    <t>https://www.mouser.com/ProductDetail/MEAN-WELL/RSP-2000-48?qs=Yj0%252BB%2F1k4UdINQcOqBLnoA%3D%3D</t>
  </si>
  <si>
    <t>5 25A Littelfuse +Shipping</t>
  </si>
  <si>
    <t>Heavy Duty Power Connectors SBS50 PANEL MOUNT BRKT</t>
  </si>
  <si>
    <t>https://www.mouser.com/ProductDetail/Anderson-Power-Products/1466G1?qs=yoCgdRjoRtHmbOact8Y%2Fvw%3D%3D</t>
  </si>
  <si>
    <t>Heavy Duty Power Connectors SBS50 2P HOUSING ONLY</t>
  </si>
  <si>
    <t>https://www.mouser.com/ProductDetail/Anderson-Power-Products/SBS50BLU?qs=yoCgdRjoRtGykuH7NGo2GQ%3D%3D</t>
  </si>
  <si>
    <t>5 X connectors</t>
  </si>
  <si>
    <t>Power Connectors SBS50 #10-12 AWG LOW DETENT CONTACT</t>
  </si>
  <si>
    <t>https://www.mouser.com/ProductDetail/Anderson-Power-Products/1339G3-BK?qs=yoCgdRjoRtGikdyIiVMeFA%3D%3D</t>
  </si>
  <si>
    <t>Competition Safety Certification</t>
  </si>
  <si>
    <t>https://campscui.active.com/orgs/MATEInspirationforInnovation0?newcui=true#/selectSessions/3702340/filter/session=68090340</t>
  </si>
  <si>
    <t>https://us.rs-online.com/product/mg-chemicals/832fx-450ml/71033671/?keyword=832FX-450ML</t>
  </si>
  <si>
    <t>Circuit Breakers 30A TOGGLE ACTUATOR</t>
  </si>
  <si>
    <t>https://www.mouser.com/ProductDetail/TE-Connectivity-PB/W31-X2M1G-30?qs=oxVsy7N3cw8e2epWSB1bUg%3D%3D</t>
  </si>
  <si>
    <t>Thermal paste</t>
  </si>
  <si>
    <t>LED Panel Mount Indicators Green 5.8mm Metal Panel Mnt Ind</t>
  </si>
  <si>
    <t>https://www.mouser.com/ProductDetail/Bivar/PM3-PRGDW12.0?qs=wFnXgzJ2EGMjih%2Fx44ap6A%3D%3D</t>
  </si>
  <si>
    <t>LED Panel Mount Indicators PMI 22mm LED 120V Wire Red MS</t>
  </si>
  <si>
    <t>https://www.mouser.com/ProductDetail/VCC/CNX722C200120W?qs=YCa%2FAAYMW01NRQy%2FGDqaTg%3D%3D</t>
  </si>
  <si>
    <t>Heat Shrink Tubing</t>
  </si>
  <si>
    <t>AC Power Cords 10' GRAY/GRAY PLUG 3 X 12 AWG HOSP</t>
  </si>
  <si>
    <t>https://www.mouser.com/ProductDetail/Qualtek/233080-06?qs=oGPfoFmS6kRj46OZYW70wA%3D%3D</t>
  </si>
  <si>
    <t>AC Power Entry Modules 2P 20A w/ circ break Printed I/O mark</t>
  </si>
  <si>
    <t>https://www.mouser.com/ProductDetail/Schurter/EF11.ABDBL200C0.0010.01-20A?qs=PRB6hLq1s9eW6ZHXBHjjcQ%3D%3D</t>
  </si>
  <si>
    <t>Ocean Testing Facility time</t>
  </si>
  <si>
    <t>2 Custom PCBs</t>
  </si>
  <si>
    <t>Red/Black Bonded Zip Cord Easy ID Low Voltage Cable</t>
  </si>
  <si>
    <t>https://powerwerx.com/red-black-bonded-zip-cord</t>
  </si>
  <si>
    <t>24 ft. 16 Gauge Green Stranded Primary Wire</t>
  </si>
  <si>
    <t>https://www.homedepot.com/p/Cerrowire-24-ft-16-Gauge-Green-Stranded-Primary-Wire-207-1205R24/202206419</t>
  </si>
  <si>
    <t>IronBox Electric Bulk 12/3 SJOOW Electrical Cord</t>
  </si>
  <si>
    <t>https://www.amazon.com/25-Foot-12-Electrical-Wire/dp/B07BR3M57J/ref=sr_1_1_sspa?crid=W442LHLD1V0Q&amp;keywords=12%2F3%2Belectrical%2Bwire%2B15%2Bft&amp;qid=1665094577&amp;qu=eyJxc2MiOiIwLjAwIiwicXNhIjoiMC4wMCIsInFzcCI6IjAuMDAifQ%3D%3D&amp;sprefix=12%2F3%2Belectrical%2Bwire%2Caps%2C182&amp;sr=8-1-spons&amp;smid=A3LZLP6ULNJFN7&amp;th=1</t>
  </si>
  <si>
    <t xml:space="preserve">12-10AWG Insulated Terminals Ring Electrical Wire Crimp Connectors </t>
  </si>
  <si>
    <t>https://www.amazon.com/Hilitchi-Insulated-Terminals-Electrical-Connectors/dp/B01D8EJOU6/ref=sr_1_3?crid=1SOH10MUQADIZ&amp;keywords=terminal%2Brings%2Byellow%2B5%2F16&amp;qid=1665094845&amp;qu=eyJxc2MiOiIxLjk1IiwicXNhIjoiMC4wMCIsInFzcCI6IjAuMDAifQ%3D%3D&amp;sprefix=terminal%2Brings%2Byellow%2B5%2F16%2Caps%2C166&amp;sr=8-3&amp;th=1</t>
  </si>
  <si>
    <t>AIRIC UL Listed Yellow Female Spade Connector 12-10AWG</t>
  </si>
  <si>
    <t>https://www.amazon.com/AIRIC-Connector-Insulated-Disconnects-Connectors/dp/B089Y2Q3K2/ref=sr_1_13?crid=2Q9DA35GJG00G&amp;keywords=AC%2Bfemale%2Bspade%2Bconnectors&amp;qid=1665531776&amp;qu=eyJxc2MiOiIyLjM2IiwicXNhIjoiMC4wMCIsInFzcCI6IjAuMDAifQ%3D%3D&amp;s=industrial&amp;sprefix=ac%2Bfemale%2Bspade%2Bconnectors%2Cindustrial%2C164&amp;sr=1-13&amp;th=1</t>
  </si>
  <si>
    <t>Metoro 1/8 12" x 24" 5052 .125 Aluminum Sheet Metal Plate</t>
  </si>
  <si>
    <t>https://www.amazon.com/MorningRo-Aluminum-Thickness-Rectangle-Handcraft/dp/B0D3TH4TTC/ref=sr_1_1?crid=1Y2VQ9ZS1SF9K&amp;dib=eyJ2IjoiMSJ9.P3z67IzyzAT0EgC-riexBkj-raohHzg-9PyciStm_wC9RaIvunRdBn6t5_ZBLjytIIJtB0t06Hit5IaQhMlB8aa6gx7wH1f8-1edJljqj1sRl9w0Wbtzj78Wm7lHXqSI2jePCs3cRoYbDhxTRT_ZjwffLb8b8yRws5DF1UQsRIzFmCJbXzFaVmhcmwl31IgoP2z5iGldoaozJe4M1vzCrUgm2Jm33Q4X8hn_QfTLdZw.Sh-ooPgzaU7TlxZBB7ao-kF2AZoMxp2rIIonTHeI9jw&amp;dib_tag=se&amp;keywords=Metoro%2B1%2F8%2B12%22%2Bx%2B24%22%2B5052%2B.125%2BAluminum%2BSheet%2BMetal%2BPlate&amp;nsdOptOutParam=true&amp;qid=1776906872&amp;sprefix=metoro%2B1%2F8%2B12%2Bx%2B24%2B5052%2B.125%2Baluminum%2Bsheet%2Bmetal%2Bplate%2B%2Caps%2C173&amp;sr=8-1&amp;th=1</t>
  </si>
  <si>
    <t xml:space="preserve">6061 T651 Aluminum Sheet Metal 8" x 12" x 1/8"(0.125") </t>
  </si>
  <si>
    <t>https://www.amazon.com/Tynulox-Aluminum-Protective-Treatable-Industry/dp/B0CW9PZVY6/ref=sr_1_3?crid=3O6327DO1F0K6&amp;dib=eyJ2IjoiMSJ9.xFqXiwTICHWR9Pwl-Ox-8nc78YOScpEVZHwXNlX0lcPNw3LrZcJnF_eE9T309SN1O8RcL14RQVWrjdmvLVk_aT_0-Oy0HeXK348_EG0qRhy8ZqkdEcgotOV6NnycBaKKI_ZsmR5WC_BqVbfQboDGrCUN51jPWs-g974hfnNlhKE0pLSSM9hc3rZDcmQqJAQvq7gRq38z_4GepgJKKg6OrBp-16QXG3WJPvyeHjiv3VB8u0AwgN4qdCTXvK7LvnLSSjs1oWQ1ZyvXLA1eYT5B41GDmRUWd6V30owunQQuyXM.FtAKOZkEZ8Z748Ie3t619drTU4f2CD9QuAUg-RfzxTE&amp;dib_tag=se&amp;keywords=6061%2BT651%2BAluminum%2BSheet%2BMetal%2B8%22%2Bx%2B12%22%2Bx%2B1%2F8&amp;nsdOptOutParam=true&amp;qid=1776908610&amp;s=industrial&amp;sprefix=6061%2Bt651%2Baluminum%2Bsheet%2Bmetal%2B8%2Bx%2B12%2Bx%2B1%2F8%2Cindustrial%2C130&amp;sr=1-3&amp;th=1</t>
  </si>
  <si>
    <t xml:space="preserve">Yescom 12 to 2/0 AWG Hydraulic Wire Crimper Battery Lug Terminals </t>
  </si>
  <si>
    <t>https://www.amazon.com/Yescom-Hydraulic-Battery-Terminal-Crimping/dp/B00KS4R3PI/ref=sr_1_5?crid=35AG98IMB2V7B&amp;keywords=hydraulic%2Bpower%2Bpole%2Bcrimper&amp;qid=1658434359&amp;sprefix=hydraulic%2Bpowerpole%2Bcrimper%2Caps%2C151&amp;sr=8-5&amp;th=1</t>
  </si>
  <si>
    <t>Hilitchi Professional Insulated Wire Terminals Connectors</t>
  </si>
  <si>
    <t>https://www.amazon.com/Hilitchi-Professional-Insulated-Connectors-Ratcheting/dp/B01IQIALJC/ref=sxin_15_ac_d_pm?ac_md=2-0-VW5kZXIgJDI1-ac_d_pm_pm_pm&amp;crid=STJWR4CTIPDW&amp;cv_ct_cx=wire+crimping+tool&amp;dchild=1&amp;keywords=wire+crimping+tool&amp;pd_rd_i=B01IQIALJC&amp;pd_rd_r=5e44dbc4-ba2a-4d0a-88d3-3c4d45e1a173&amp;pd_rd_w=ddhog&amp;pd_rd_wg=kY2rP&amp;pf_rd_p=59cd35b3-fd01-41c8-b226-e181f5db7b0f&amp;pf_rd_r=TS0QASQZ08T10MQ6H4ME&amp;psc=1&amp;qid=1629828004&amp;sprefix=wire+cri%2Caps%2C283&amp;sr=1-1-22d05c05-1231-4126-b7c4-3e7a9c0027d0</t>
  </si>
  <si>
    <t>IRWIN VISE-GRIP Wire Stripper, 2 inch Jaw</t>
  </si>
  <si>
    <t>https://www.amazon.com/gp/product/B000OQ21CA/ref=ppx_yo_dt_b_search_asin_title?ie=UTF8&amp;th=1</t>
  </si>
  <si>
    <t>8-32 x 1/2 in. Phillips-Slotted Round-Head Machine Screws</t>
  </si>
  <si>
    <t>https://www.homedepot.com/p/Everbilt-8-32-x-1-2-in-Phillips-Slotted-Round-Head-Machine-Screws-100-Pack-27622/100119771</t>
  </si>
  <si>
    <t>#8-32 Zinc Plated Machine Screw Nut</t>
  </si>
  <si>
    <t>https://www.homedepot.com/pep/Everbilt-8-32-Zinc-Plated-Machine-Screw-Nut-12-Pack-826361/317478969?g_store=6559&amp;source=shoppingads&amp;locale=en-US&amp;fp=ggl&amp;pla&amp;mtc=SHOPPING-BF-CDP-GGL-D25H-025_003_FASTENERS-NA-NA-NA-PMAX-NA-NA-NA-NA-NBR-NA-NA-NA-Fasteners&amp;cm_mmc=SHOPPING-BF-CDP-GGL-D25H-025_003_FASTENERS-NA-NA-NA-PMAX-NA-NA-NA-NA-NBR-NA-NA-NA-Fasteners-20427175378--=&amp;vector_id=20427175378&amp;vector_source=GOOGLE&amp;vector_campaign=SHOPPING-BF-CDP-GGL-D25H-025_003_FASTENERS-NA-NA-NA-PMAX-NA-NA-NA-NA-NBR-NA-NA-NA-Fasteners&amp;gclsrc=aw.ds&amp;gad_source=1&amp;gad_campaignid=20278982799&amp;gbraid=0AAAAADq61Ud-YpnopsLcoyCfV_77Hn19w&amp;gclid=CjwKCAjw46HPBhAMEiwASZpLREweqmyxuCN42nLH2Q0jTK8IZrs59wWqagTz7XNqLkiyDHYJeUWGzxoCL4YQAvD_BwE</t>
  </si>
  <si>
    <t xml:space="preserve">#8 x 3/4 in. Truss Head Phillips Drive Lath Self-Drilling Screw </t>
  </si>
  <si>
    <t>https://www.homedepot.com/p/Everbilt-8-x-3-4-in-Truss-Head-Phillips-Drive-Lath-Self-Drilling-Screw-1-lb-Box-222-Piece-116078/205142789</t>
  </si>
  <si>
    <t>uxcell Flanged Button Head Socket Cap Screws</t>
  </si>
  <si>
    <t>https://www.amazon.com/uxcell-Flanged-Stainless-Fasteners-Threaded/dp/B098DCQHMV/ref=sr_1_10?crid=25IT49GCDF8R4&amp;keywords=m3%2Bx%2B4mm%2Bscrews&amp;qid=1689105382&amp;sprefix=m3%2Bx%2B4mm%2Bscrews%2Caps%2C292&amp;sr=8-10&amp;th=1</t>
  </si>
  <si>
    <t>1 in. x 2 ft. x 2 ft. R-5 Project Panel XPS Rigid Foam Board Insulation</t>
  </si>
  <si>
    <t>https://www.homedepot.com/p/Owens-Corning-FOAMULAR-NGX-1-in-x-2-ft-x-2-ft-R-5-Project-Panel-XPS-Rigid-Foam-Board-Insulation-9WE/315401957</t>
  </si>
  <si>
    <t>2 Inch 20M Black Aluminum foil Tape</t>
  </si>
  <si>
    <t>https://www.amazon.com/Westspark-Aluminum-Professional-Refrigerator-Insulation/dp/B098XWKR6Q/ref=sr_1_3_sspa?crid=1DC3ZF5KM1SKC&amp;keywords=foil%2Badhesive&amp;qid=1668371900&amp;sprefix=foil%2Badhesiv%2Caps%2C177&amp;sr=8-3-spons&amp;sp_csd=d2lkZ2V0TmFtZT1zcF9hdGY&amp;th=1</t>
  </si>
  <si>
    <t>3FT 12/3 Extension Cord Heavy Duty Black 3-Outlet</t>
  </si>
  <si>
    <t>https://www.amazon.com/Extension-3-Outlet-12-Gauge-Grounded-Listed%EF%BC%8CSafety/dp/B08RBM8VFK/ref=sr_1_12_sspa?crid=3NQNZUU3WV6NR&amp;dib=eyJ2IjoiMSJ9.EKeShNdrAZFcN68qPMwY5n73v97elbK__uH-tAVzrP0JhAR0KLICuvP9WHFKVAw0N_2QkeOpnsDmarfiqASM0q_DmTINku-Hqk5PdPdQNXazMUNZ_y94rWh_JhUCdPRi1Zvh8zio-jbEPNutynGs3oNR5fmZ1OjvdGgK6uVN_uXw6I77ghc2UpoT2i9c26mah8y3desYqMEUdSKoglvIWU_RD_XKv_GSXMQodyT5tNk.bW4hvnb0jkP8YC-yMd6g3_kYiCdtmhIFA6PjCjBTVuk&amp;dib_tag=se&amp;keywords=triple%2Bsocket%2Bcord&amp;qid=1754066037&amp;sprefix=triple%2Bsocket%2Bcord%2Caps%2C162&amp;sr=8-12-spons&amp;sp_csd=d2lkZ2V0TmFtZT1zcF9tdGY&amp;th=1</t>
  </si>
  <si>
    <t>Claude Pro Subscription (3 months)</t>
  </si>
  <si>
    <t>https://claude.ai/login</t>
  </si>
  <si>
    <t>Epoxy Potted Underwater Camera w/ H.264 encoding</t>
  </si>
  <si>
    <t>https://bluerobotics.com/store/sensors-cameras/cameras/deepwater-exploration-explorehd-usb-camera/</t>
  </si>
  <si>
    <t>M6 Heated Inserts</t>
  </si>
  <si>
    <r>
      <rPr>
        <rFont val="Arial,sans-serif"/>
        <color rgb="FF1155CC"/>
        <sz val="5.0"/>
        <u/>
      </rPr>
      <t>https://www.amazon.com/sspa/click?ie=UTF8&amp;spc=MTo3MDE5MjI5NjE1OTM4NjU6MTc3NjkxNTY1NDpzcF9hdGY6MzAwNzI5OTMxMDgxMDAyOjowOjo&amp;url=%2FKtehloy-Inserts-Printing-Components-M6xL8xD8%2Fdp%2FB0D3VR2GBD%2Fref%3Dsr_1_2_sspa%3Fcrid%3D2TGK5W5V205ON%26dib%3DeyJ2IjoiMSJ9.TqfT9LE2IPSRnffiRuC4EiGDwFU4O193Kmc1J-JB4liZ8cIupwFv8EZFFiJlBL35cPraE-eq4vo8Zg4fTBSX7qrG_G4HMhXV_fs6Fsbf_n0HfPAARVgUprI-Ps-CNDnuqZ-DWRRHQldKzkFBN9vGmJ0i8UKgBZynf1OOj7A98YYfqJHR45ZiXlQigAH-TKsR_DTmWrio0c3d5_s-aFkYk_H2NCKNECAdIgaTo749i_w.Cuh01OwEKDNV39smtdQRwsOAhQ29wmQ2iWNWZNSaMxo%26dib_tag%3Dse%26keywords%3Dm6%2Bheated%2Binserts%26qid%3D1776915654%26sprefix%3D%252Caps%252C101%26sr%3D8-2-spons%26sp_csd%3Dd2lkZ2V0TmFtZT1zcF9hdGY%26psc%3D1</t>
    </r>
  </si>
  <si>
    <t>M6 Screws Kit</t>
  </si>
  <si>
    <t xml:space="preserve">https://www.amazon.com/sspa/click?ie=UTF8&amp;spc=MTo1MTE0MDI1MTg5MTAyMDA0OjE3NzY5MTU2ODk6c3BfYXRmOjMwMDk2MDU4NjU4MTYwMjo6MDo6&amp;url=%2FFgruh-174PCS-Screws-Nuts-Assortment%2Fdp%2FB0FGV89DVB%2Fref%3Dsr_1_1_sspa%3Fcrid%3DTPE2RAFSOCKS%26dib%3DeyJ2IjoiMSJ9.Tk4t9szvjPt4SOcATiRlDte6h336aK4SZAV6aMzWQX3Z6HJmO-c2TuJPuGwOz0zvTFSCq3Plr70owDlJpQLW_L_dROvBwkfND25DIsqpryHn78__iWPkjXD4a86OYwY-SdOlHd3y4PPVOtL3tEroWUd3p4akHSCmQ_UmfN6-4jNbnybLnfr8Sm9aJQRWCiQHpXOw3xtO-yV9rcOdkZ1j4dbF-ogDO2kM_6qWpFzjYPc.MGUoA5vW50mTcHEUFGKa-JUT8i6szjF1GhmSgzJn4o0%26dib_tag%3Dse%26keywords%3Dm6%2Bscrews%26qid%3D1776915689%26sprefix%3Dm6%2Bscrew%252Caps%252C138%26sr%3D8-1-spons%26sp_csd%3Dd2lkZ2V0TmFtZT1zcF9hdGY%26psc%3D1 
</t>
  </si>
  <si>
    <t>M6 Bolts 50 mm</t>
  </si>
  <si>
    <r>
      <rPr>
        <rFont val="Arial,sans-serif"/>
        <color rgb="FF1155CC"/>
        <sz val="5.0"/>
        <u/>
      </rPr>
      <t>https://www.amazon.com/Mywish-Socket-Stainless-Furniture-Spanner/dp/B0CX8W4B11/ref=sr_1_4?crid=2TEAWT47U8SRU&amp;dib=eyJ2IjoiMSJ9.JrC1hU_Ox8XswwbcG7_wBgjGxVtJpzp4Cp088A-0ZzxMzio9PTegkHuEwpYWvAzNvgDYEErOvEOAiOhgtG2Anm5ZoapjF86xpGDe9fAFkXyRjxAR7n4XP-KcGamu_wP8AE6AYqR7PLmy_6aTaJPpENproW-F0mmaCXihWiVINYP7DmD3bRhGui30-S9Mk6Jmf3C4sxHGOCgjQy1B_iN23WN1IkKq5nWthQNFnJdzLAM.sRarHGQrgpi7KAkYeIURigKyvAnmcRqB5XM7i5KRDbU&amp;dib_tag=se&amp;keywords=m6+screws+50+mm&amp;qid=1776915722&amp;sprefix=m6+screws+50+mm%2Caps%2C142&amp;sr=8-4</t>
    </r>
  </si>
  <si>
    <t>M3 Heated Inserts</t>
  </si>
  <si>
    <r>
      <rPr>
        <rFont val="Arial,sans-serif"/>
        <color rgb="FF1155CC"/>
        <sz val="5.0"/>
        <u/>
      </rPr>
      <t>https://www.amazon.com/sspa/click?ie=UTF8&amp;spc=MTo4MjE0Mjg1NDQwNjU4NTY0OjE3NzY5MTU3ODU6c3BfYXRmOjIwMDExMjY2ODY5ODU5ODo6MDo6&amp;url=%2Fruthex-M3-Threaded-Inserts-RX-M3x5-7%2Fdp%2FB08BCRZZS3%2Fref%3Dsr_1_1_sspa%3Fcrid%3D23FNWW0WFO3XW%26dib%3DeyJ2IjoiMSJ9.-n8pYt-gwBioGHFqrby9zJ18g6aClFspJJiU7zCgZd4z2BCay_MDXh4nX70ZgaBIS8BbEWM3Rcj0lrdT3ubsJix5rbeTOVPoNMQhhUQl7wVoAo-N4f5q6mgVcvRgX04Q3Uu6sgIA4gzN7urPsEwwaoT7CqFgYup85mx73VwpAAJCg4aGU0UUN9nJjOXc2ZlL48Y6FvFujwU5Vvt171puajPVopu5e6nNNC91qaSqy5A.YfRO5X_S7bUvbdqZR0Y0S6-Wq4XhzqCUybFrqYGKg4E%26dib_tag%3Dse%26keywords%3Dm3%2Bheated%2Binserts%26qid%3D1776915785%26sprefix%3Dm3%2Bheated%2Binsert%252Caps%252C132%26sr%3D8-1-spons%26sp_csd%3Dd2lkZ2V0TmFtZT1zcF9hdGY%26psc%3D1</t>
    </r>
  </si>
  <si>
    <t>M4 Heated Inserts</t>
  </si>
  <si>
    <r>
      <rPr>
        <rFont val="Arial,sans-serif"/>
        <color rgb="FF1155CC"/>
        <sz val="5.0"/>
        <u/>
      </rPr>
      <t>https://www.amazon.com/sspa/click?ie=UTF8&amp;spc=MTo0OTU3MTU0Mjg2MTUwNDMxOjE3NzY5MTU4MTQ6c3BfYXRmOjMwMDcyOTkzMTA4MDUwMjo6MDo6&amp;url=%2FKtehloy-Inserts-Printing-Components-M4xL6xD6%2Fdp%2FB0D3VS3F76%2Fref%3Dsr_1_1_sspa%3Fcrid%3D1VEOJRGSF7SQB%26dib%3DeyJ2IjoiMSJ9.umZ_BL7Z-e8rcgx7P5Sx04il4fv2xu4L3J-FvRS_Wsv7frmM75xaAyd4byJjVbrlqDfddN9SONaninqgqfj-kx5WPd4Brl8vgkQ9uqOluqFdmKECmWOH9pHZkeQu2EQP2K6raN7OZAUrT1CgkjM5KT7e-UVtThgL9CBj1q4VHi0bC-ekuMcvZNhsxOAYb0QmeAmyOZ1esAkCoYUNnuq6Oxvd-WfT5tE7Ga5LgtEgPQE.ZIav_kPU4sa_voll6QDsZQWLNLFLTfjwUqGP_9YB5U8%26dib_tag%3Dse%26keywords%3Dm4%2Bheated%2Binserts%26qid%3D1776915814%26sprefix%3Dm4%2Bheated%2Binserts%252Caps%252C114%26sr%3D8-1-spons%26sp_csd%3Dd2lkZ2V0TmFtZT1zcF9hdGY%26psc%3D1</t>
    </r>
  </si>
  <si>
    <r>
      <rPr>
        <color rgb="FF1155CC"/>
        <sz val="5.0"/>
        <u/>
      </rPr>
      <t>Locking Tubes for Watertight Subsea Enclosures</t>
    </r>
  </si>
  <si>
    <t>Deep Sea Epoxy</t>
  </si>
  <si>
    <t>https://www.bing.com/aclk?ld=e8pB_E-aNEvjuY5ONAREO0DTVUCUw3M1M6ifWHTkhUDY0rtofmT8-KZEoRnLxgwp-Rbh3-swfLHZSBK2Asf_he1j9x4uKrM6z9CezkWbvKimLQqTnd5NHNF3EysZOFWeamjbePV49C5r8R-C4mhyiDrPLObvDdxVEnNPtpeKiW9y2rV32gYUIDJtl4a7xNC_e7rki703RcbmhyNF2GBDXa00BmqGc&amp;u=aHR0cHMlM2ElMmYlMmZ3d3cuYW1hem9uLmNvbSUyZlRvdGFsQm9hdC1UaGlja3NldC1IYXJkZW5lci1DYXN0aW5nLUVtYmVkZGluZyUyZmRwJTJmQjA5Q0RWSEJXOSUyZnJlZiUzZGFzY19kZl9CMDlDRFZIQlc5JTNmdGFnJTNkYmluZ3Nob3BwaW5nYS0yMCUyNmxpbmtDb2RlJTNkZGYwJTI2aHZhZGlkJTNkODA0MDE5OTg0MTMyMjclMjZodm5ldHclM2RvJTI2aHZxbXQlM2RlJTI2aHZibXQlM2RiZSUyNmh2ZGV2JTNkYyUyNmh2bG9jaW50JTNkJTI2aHZsb2NwaHklM2Q3NDQxOSUyNmh2dGFyZ2lkJTNkcGxhLTQ1ODQwMDE0NzkzNTk5ODklMjZwc2MlM2QxJTI2bXNjbGtpZCUzZGU5Yjg2NjA3OTcwMjE5MmY2NzY1MGZlZTBiOTcyYTNm&amp;rlid=e9b866079702192f67650fee0b972a3f&amp;ntb=1</t>
  </si>
  <si>
    <t>Fish Scale Luggage Scale Fishing Gear</t>
  </si>
  <si>
    <t>https://www.amazon.com/Dr-meter-Electronic-Measuring-Batteries-Included/dp/B00ZWNGZFO/ref=sr_1_1_sspa?dib=eyJ2IjoiMSJ9.0_pYXeAAY2lQt5jMOe3iAzBvwsxS1wmLdJDhUA3qj9ZfH4ar70-qMlzCjLC-tvpetW82NjnGdtcKHP9Ds4eJ7UAUr-Xf-E4NYh_5oqxyIZn1rZDpNrWv-JtWP8AeOPus_LYcCsB0ztOp5JEQPEoB-0JNs5PN5EBPsGW-tD9VDGVVaNQdRG05mR69tbEacRjOy29z4G-ZyMeix7nyTDhAuTZFCQpx1q0zcvU_nljlqHk.wSRCY3jaXuu8aGUgPSU2tyYKZzC48mlYO65hep3kIDQ&amp;dib_tag=se&amp;keywords=Digital%2Bhanging%2Bscale&amp;qid=1776958132&amp;sr=8-1-spons&amp;sp_csd=d2lkZ2V0TmFtZT1zcF9hdGY&amp;th=1</t>
  </si>
  <si>
    <t>2 in. x 10 ft. White Schedule 40 PVC Pipe</t>
  </si>
  <si>
    <t>2 in. PVC DWV Wye Fitting</t>
  </si>
  <si>
    <t>https://www.homedepot.com/p/Charlotte-Pipe-2-in-PVC-DWV-Wye-Fitting-PVC006001000HD/203396254</t>
  </si>
  <si>
    <t>2" Sch 40 PVC Cap</t>
  </si>
  <si>
    <t>Hexagon Steel Plumb Bob, 8 Ounce</t>
  </si>
  <si>
    <t>https://www.amazon.com/General-Tools-790-8-Hexagon-Steel/dp/B00004T7TI/ref=sr_1_6?crid=1AM98B8BLUW6&amp;dib=eyJ2IjoiMSJ9.OhYYYeoxn5pZXRAENUsrdsHpgQfr99MN5k_Z6A7Q5CoGY-c2QaHSkDF0hgdTizJtWwniUJXuv_atWumjggrsHZ7AFwi9P6SeceUzRl2b2ywo4zxC3gQAArzZw_c7n2xT9xMJA4VUB8OHY8DSx5uc4V0ih0EZfmrc2JrK8MITAWMm0qkx3-4H0aEbbKTJGE4DA6UImISqkCfUOpQ90xe0Qyol6tLEODnwPsioa5KI-ymt5S_cuscSFTaCHZbawtb1-9_wKxdE9LdbcYUeB-pzj6_ckAkZfqi1vY3XQoAv4us.iDAKhDts2G9DntbOtXygDkllJMI3iE5GyibNivx7iUI&amp;dib_tag=se&amp;keywords=Plumb%2Bbob&amp;qid=1776958506&amp;sprefix=plumb%2Bbob%2B%2Caps%2C221&amp;sr=8-6&amp;th=1</t>
  </si>
  <si>
    <t>Caliper Measuring Tool</t>
  </si>
  <si>
    <t>https://www.amazon.com/Qfun-Digital-Caliper/dp/B082XBZJS5/ref=sr_1_1_sspa?crid=3JT8Z23KEKWHB&amp;dib=eyJ2IjoiMSJ9.9ezW-pBOYlEO-kRBlcEeCKVONlAiRMHkYRfXDZHFJRn8b9BUTYpDy-b4UmlQ4EfoNYx0qP_zi7rRlUgXvtNhkQhRya3BYtqZvuY32Iba45Bssr-j0_z6tKzzZgsGe8fCXfVhjcIl7b4FNSd4zCmM9U3pizR8GLXilc4vsKSajfYvOcXejGviT-N_Iw8vp6FRFgj4olTf7FSipCPb4S4ySdZEz824H8kwn2m5Jdu-juc.B7M7vOc3elB-_VYfu7u6b18Y8MgE1KKb4Q6J01OmOr8&amp;dib_tag=se&amp;keywords=calipers&amp;qid=1776958582&amp;sprefix=plumb%2Bbob%2Caps%2C410&amp;sr=8-1-spons&amp;sp_csd=d2lkZ2V0TmFtZT1zcF9hdGY&amp;th=1</t>
  </si>
  <si>
    <t>4 Rolls Premium Painters Tape</t>
  </si>
  <si>
    <t>https://www.amazon.com/Painters-Painting-Adhesive-Decoration-Labeling/dp/B0BPS5QB4D/ref=sr_1_2_sspa?crid=10GMLN5PZ6A7Y&amp;dib=eyJ2IjoiMSJ9.KRBS-JXaHeOX_VQ0c6HJv7mSvk4Z-YniNpcrq-Zha5ZaDKZ4BqkpgZtmSzDlH9SS5CwiWbGOyTdDW5sXW4v0fHndP7go5YRSDHYXXGyHHuJMTi1HKVQ5s6MPLT6Hr_x7orkCilD-e5go2S8BcOxNlxBet6pol3d1OrhFb5VbU2zbviZQQXMlNgk3suZpKqU5go_6cTDjWoXKfMnEb9abvn0-uOg6eadUXJN8tIbQwd2FRnYdGgwP18rVo9JNIkbeHSPN3uA17dr9S9h8yfrUlaWIHq4LnyIRDBfW6sMApi8.gI8V5HHTf1L-SPG9zBhX1mSqjGIQgiMQ20tDgoGp82g&amp;dib_tag=se&amp;keywords=masking%2Btape&amp;qid=1776958644&amp;sprefix=masking%2Btape%2Caps%2C162&amp;sr=8-2-spons&amp;sp_csd=d2lkZ2V0TmFtZT1zcF9hdGY&amp;th=1</t>
  </si>
  <si>
    <t>Clear Fishing Line Wire 755 ft</t>
  </si>
  <si>
    <t>https://www.amazon.com/Invisible-Balloons-Decorations-Bracelets-Necklaces/dp/B0D3X9RKF2/ref=sr_1_1_sspa?crid=O0MHOVJA7RHT&amp;dib=eyJ2IjoiMSJ9.qMCX5WuR--mD7kI3T2D21hwvoZLrwmmIbeDktuHtxIl7l7sXASEqRCIWCz54eQ7I_adP6HjzcsMuVUtzlQetiEGInHhjV9Jjzk1nUvE8lVZmpYZQuvCNeDlwruQOs2x67Kmlw9WUDAqET2lOo8hWPogg-CcdyZwjgRpuZolQ8ofLK_Fw3vjp-rsHwEFPSndNqMx3OMYBoGmR66fNgcEUZrPRIh_dGSkxmbCN4PgyderNCq47tYiFKKZBvNJMukWw5i2vYuVpHpNV0RVrPMfD6je_HXrATGXddbbLkqAzqtQ.p_agiwWX60XAK9hIBwkUrfcOBro2uDMG8kKCsiIYRZs&amp;dib_tag=se&amp;keywords=fishing%2Bline&amp;qid=1776959122&amp;sprefix=fishing%2Blin%2Caps%2C176&amp;sr=8-1-spons&amp;sp_csd=d2lkZ2V0TmFtZT1zcF9hdGY&amp;th=1</t>
  </si>
  <si>
    <t>Picture Hanging Wire #3 – 30lbs Capacity</t>
  </si>
  <si>
    <t>https://www.amazon.com/HangDone-Picture-Hanging-100-Feet-Supports/dp/B07WK9LR4C/ref=sr_1_2_sspa?crid=2PBE8CCVXYJ4E&amp;dib=eyJ2IjoiMSJ9.m5bU-Q9fKK23w5eBk2Gb1N_PyG3yDSbiSw0zNpgJnljiZQaJA2sjDbEHC3VMoyvgyrxeDYikOfbOWmGp_s9HexbuUmAxysbdTnSdZzbtpBcJAEWjIgHXzXK492BQjI8Xe55aZhIgC3QgIZrelDqI_-hiu4FzOZdfFJI8nRA9VYybTo2r20TzL2EpLdxntK_-rINjvExGfOiZEzDmg4xO6K701dVayEuxFjjBbzfBhZ8.by7hWjeHEpqmb8Wag5qwZX3iCwkQokyFdW5VWQ-Ndps&amp;dib_tag=se&amp;keywords=steel%2Bwire&amp;qid=1776959377&amp;sprefix=steel%2Bwir%2Caps%2C182&amp;sr=8-2-spons&amp;sp_csd=d2lkZ2V0TmFtZT1zcF9hdGY&amp;th=1</t>
  </si>
  <si>
    <t>Armpow 8 Inch Recoverable Reusable Zip Ties</t>
  </si>
  <si>
    <t>https://www.amazon.com/Armpow-Recoverable-Releasable-Removable-Management/dp/B0CNK7CCPW/ref=sr_1_2_sspa?crid=1T7KUDHKAMAZ1&amp;dib=eyJ2IjoiMSJ9.dueMKJjwPUB8H1lZmGtK1x157-JYD7yXstYl7dENB0d10FHkqlq-HcUlPHT87fCWZ9a1eBwQupzmYcG4_EUYjH8HD6HhJ10_mlzRNpaPbMKP5ApMyAiVJ3-5HqW1Eq35iWmQ6JVmNZju-IPalcPfoRW_8DON-tKTN7QgtZHliPbyRUbHsrFsbeqjq5U5d9hi2HqoTxVhJNRvubQdLZCHKUcOD9IWc6oDl4ePhfaSb2Q.0nsXPRAfSbZwQgFsuZEQfJP3Fx0Ya9mWazy8dyR0ceg&amp;dib_tag=se&amp;keywords=Waterproof%2Bconnectors%2B%2F%2Bzip%2Bties&amp;qid=1776959579&amp;sprefix=waterproof%2Bconnectors%2B%2F%2Bzip%2Bties%2Caps%2C131&amp;sr=8-2-spons&amp;sp_csd=d2lkZ2V0TmFtZT1zcF9hdGY&amp;th=1</t>
  </si>
  <si>
    <t>Play22 Pool Noodles Foam 6 Pack</t>
  </si>
  <si>
    <t>https://www.amazon.com/Play22-Pool-Noodles-Foam-Pack/dp/B0F1ZL1MRN/ref=sr_1_8?crid=2X6RQ0HT2RP5X&amp;dib=eyJ2IjoiMSJ9.isPVg6_1dWA80obMZjYbi-ZXkyrmq0tYY8k31PTBIAOoczvdKvmE-HNPEPI1IbbuaLqaKN-LLVryxmvMQe1SZU0HauzdxQt0RexPNKAXqzNCXdvFH-t-U1ZW0NSQtyVLXeGoxT9wVIIIVtOgWzUk5omdp2CjOdkw8TvSJldsYHGTw03zitzrehd7QdTabtS0l38689M1Vnb2A0pa15_IRwPkecYABEnGoPE7xiCWaEyqMMuWh8_DhwPSQsXUIzUPZfFgK8JCbgjM-dAcX70SzdA9I_7xJsNW3UqBPhonj1Y.4c4W2oCjfUpmgoVdslNT0IhylhQUMxaDoFVe_W-gKqw&amp;dib_tag=se&amp;keywords=Expanded+polystyrene+pool+noodles&amp;qid=1776959922&amp;sprefix=expanded+polystyrene+pool+noodle%2Caps%2C125&amp;sr=8-8</t>
  </si>
  <si>
    <t>Fractional Micro Weight Plates Set of 8 Weight Plate</t>
  </si>
  <si>
    <t>https://www.amazon.com/EVERYMATE-Fractional-Barbells-Strength-Training/dp/B09QM3XP11/ref=sr_1_1?crid=SSJ1XNCIWY61&amp;dib=eyJ2IjoiMSJ9.wqwcLi2z1BkvDsE3RrqT2Wknyta42Oc1nu0x9qpmoQLpQ7mq7jd5LeOpt8EDlS_tRoo1mrpoViEZ9BSn-jLUHV6gzjl7w24EVtXvbF7w-4HBRUAz5dXzo0kxbCxKmn1S6ndFk8628DQmgdDmyndEViVczsgL6aUbyaf9plz7_DiLkKmyBIR5m25HecFJ_oxXuymANqwEoFe-y8lejGDJqJaQZLKBiGoJERVPdqbWAHArERtMbvIHUWfhj6SUWWPE-aX9NWTi-W3wWeWgtJoGO8bZqDPGa9PGxRQbpNUSwNU.NnwbzQzhQT_UDzPlOSdEOB_SCjYZnSph4hF0zjB2Xo4&amp;dib_tag=se&amp;keywords=small%2Bincremental%2Bweights&amp;qid=1776960001&amp;sprefix=small%2Bincremental%2Bweight%2Caps%2C142&amp;sr=8-1&amp;th=1</t>
  </si>
  <si>
    <t>Subteam Costs</t>
  </si>
  <si>
    <t>Total Price</t>
  </si>
  <si>
    <r>
      <rPr>
        <color rgb="FF1155CC"/>
        <sz val="5.0"/>
        <u/>
      </rPr>
      <t>Amazon.com: Mean Well RSP-2000-48 Switching Power Supplies 2016W 48V 42A, PFC, DC Fan, Adj Output, Enclosed, Input: 90~264 VAC, 127~370 VDC : Industrial &amp; Scientific</t>
    </r>
  </si>
  <si>
    <t>Remaning</t>
  </si>
  <si>
    <r>
      <rPr>
        <rFont val="Arial,sans-serif"/>
        <color rgb="FF1155CC"/>
        <sz val="5.0"/>
        <u/>
      </rPr>
      <t>https://www.amazon.com/sspa/click?ie=UTF8&amp;spc=MTo4MjE0Mjg1NDQwNjU4NTY0OjE3NzY5MTU3ODU6c3BfYXRmOjIwMDExMjY2ODY5ODU5ODo6MDo6&amp;url=%2Fruthex-M3-Threaded-Inserts-RX-M3x5-7%2Fdp%2FB08BCRZZS3%2Fref%3Dsr_1_1_sspa%3Fcrid%3D23FNWW0WFO3XW%26dib%3DeyJ2IjoiMSJ9.-n8pYt-gwBioGHFqrby9zJ18g6aClFspJJiU7zCgZd4z2BCay_MDXh4nX70ZgaBIS8BbEWM3Rcj0lrdT3ubsJix5rbeTOVPoNMQhhUQl7wVoAo-N4f5q6mgVcvRgX04Q3Uu6sgIA4gzN7urPsEwwaoT7CqFgYup85mx73VwpAAJCg4aGU0UUN9nJjOXc2ZlL48Y6FvFujwU5Vvt171puajPVopu5e6nNNC91qaSqy5A.YfRO5X_S7bUvbdqZR0Y0S6-Wq4XhzqCUybFrqYGKg4E%26dib_tag%3Dse%26keywords%3Dm3%2Bheated%2Binserts%26qid%3D1776915785%26sprefix%3Dm3%2Bheated%2Binsert%252Caps%252C132%26sr%3D8-1-spons%26sp_csd%3Dd2lkZ2V0TmFtZT1zcF9hdGY%26psc%3D1</t>
    </r>
  </si>
  <si>
    <r>
      <rPr>
        <rFont val="Arial,sans-serif"/>
        <color rgb="FF1155CC"/>
        <sz val="5.0"/>
        <u/>
      </rPr>
      <t>https://www.amazon.com/sspa/click?ie=UTF8&amp;spc=MTo3MDE5MjI5NjE1OTM4NjU6MTc3NjkxNTY1NDpzcF9hdGY6MzAwNzI5OTMxMDgxMDAyOjowOjo&amp;url=%2FKtehloy-Inserts-Printing-Components-M6xL8xD8%2Fdp%2FB0D3VR2GBD%2Fref%3Dsr_1_2_sspa%3Fcrid%3D2TGK5W5V205ON%26dib%3DeyJ2IjoiMSJ9.TqfT9LE2IPSRnffiRuC4EiGDwFU4O193Kmc1J-JB4liZ8cIupwFv8EZFFiJlBL35cPraE-eq4vo8Zg4fTBSX7qrG_G4HMhXV_fs6Fsbf_n0HfPAARVgUprI-Ps-CNDnuqZ-DWRRHQldKzkFBN9vGmJ0i8UKgBZynf1OOj7A98YYfqJHR45ZiXlQigAH-TKsR_DTmWrio0c3d5_s-aFkYk_H2NCKNECAdIgaTo749i_w.Cuh01OwEKDNV39smtdQRwsOAhQ29wmQ2iWNWZNSaMxo%26dib_tag%3Dse%26keywords%3Dm6%2Bheated%2Binserts%26qid%3D1776915654%26sprefix%3D%252Caps%252C101%26sr%3D8-2-spons%26sp_csd%3Dd2lkZ2V0TmFtZT1zcF9hdGY%26psc%3D1</t>
    </r>
  </si>
  <si>
    <r>
      <rPr>
        <rFont val="Arial,sans-serif"/>
        <color rgb="FF1155CC"/>
        <sz val="5.0"/>
        <u/>
      </rPr>
      <t>https://www.amazon.com/Mywish-Socket-Stainless-Furniture-Spanner/dp/B0CX8W4B11/ref=sr_1_4?crid=2TEAWT47U8SRU&amp;dib=eyJ2IjoiMSJ9.JrC1hU_Ox8XswwbcG7_wBgjGxVtJpzp4Cp088A-0ZzxMzio9PTegkHuEwpYWvAzNvgDYEErOvEOAiOhgtG2Anm5ZoapjF86xpGDe9fAFkXyRjxAR7n4XP-KcGamu_wP8AE6AYqR7PLmy_6aTaJPpENproW-F0mmaCXihWiVINYP7DmD3bRhGui30-S9Mk6Jmf3C4sxHGOCgjQy1B_iN23WN1IkKq5nWthQNFnJdzLAM.sRarHGQrgpi7KAkYeIURigKyvAnmcRqB5XM7i5KRDbU&amp;dib_tag=se&amp;keywords=m6+screws+50+mm&amp;qid=1776915722&amp;sprefix=m6+screws+50+mm%2Caps%2C142&amp;sr=8-4</t>
    </r>
  </si>
  <si>
    <r>
      <rPr>
        <rFont val="Arial,sans-serif"/>
        <color rgb="FF1155CC"/>
        <sz val="5.0"/>
        <u/>
      </rPr>
      <t>https://www.amazon.com/sspa/click?ie=UTF8&amp;spc=MTo0OTU3MTU0Mjg2MTUwNDMxOjE3NzY5MTU4MTQ6c3BfYXRmOjMwMDcyOTkzMTA4MDUwMjo6MDo6&amp;url=%2FKtehloy-Inserts-Printing-Components-M4xL6xD6%2Fdp%2FB0D3VS3F76%2Fref%3Dsr_1_1_sspa%3Fcrid%3D1VEOJRGSF7SQB%26dib%3DeyJ2IjoiMSJ9.umZ_BL7Z-e8rcgx7P5Sx04il4fv2xu4L3J-FvRS_Wsv7frmM75xaAyd4byJjVbrlqDfddN9SONaninqgqfj-kx5WPd4Brl8vgkQ9uqOluqFdmKECmWOH9pHZkeQu2EQP2K6raN7OZAUrT1CgkjM5KT7e-UVtThgL9CBj1q4VHi0bC-ekuMcvZNhsxOAYb0QmeAmyOZ1esAkCoYUNnuq6Oxvd-WfT5tE7Ga5LgtEgPQE.ZIav_kPU4sa_voll6QDsZQWLNLFLTfjwUqGP_9YB5U8%26dib_tag%3Dse%26keywords%3Dm4%2Bheated%2Binserts%26qid%3D1776915814%26sprefix%3Dm4%2Bheated%2Binserts%252Caps%252C114%26sr%3D8-1-spons%26sp_csd%3Dd2lkZ2V0TmFtZT1zcF9hdGY%26psc%3D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</si>
</sst>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.00"/>
    <numFmt numFmtId="166" formatCode="_(&quot;$&quot;* #,##0.00_);_(&quot;$&quot;* \(#,##0.00\);_(&quot;$&quot;* &quot;-&quot;??_);_(@_)"/>
  </numFmts>
  <fonts count="3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5.0"/>
      <color theme="1"/>
      <name val="Arial"/>
    </font>
    <font>
      <u/>
      <color rgb="FFB15DBA"/>
      <name val="Arial"/>
    </font>
    <font>
      <color rgb="FF1155CC"/>
      <name val="Arial"/>
    </font>
    <font>
      <sz val="8.0"/>
      <color theme="1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  <font>
      <sz val="11.0"/>
      <color theme="1"/>
      <name val="Arial"/>
    </font>
    <font>
      <u/>
      <sz val="5.0"/>
      <color rgb="FF0000FF"/>
      <name val="Arial"/>
    </font>
    <font>
      <u/>
      <sz val="5.0"/>
      <color rgb="FF000000"/>
      <name val="Arial"/>
    </font>
    <font>
      <u/>
      <sz val="5.0"/>
      <color theme="1"/>
      <name val="Arial"/>
    </font>
    <font>
      <u/>
      <sz val="5.0"/>
      <color rgb="FF000000"/>
    </font>
    <font>
      <u/>
      <sz val="5.0"/>
      <color theme="1"/>
      <name val="Arial"/>
    </font>
    <font>
      <sz val="5.0"/>
      <color theme="1"/>
      <name val="Arial"/>
      <scheme val="minor"/>
    </font>
    <font>
      <u/>
      <sz val="5.0"/>
      <color rgb="FF0000FF"/>
    </font>
    <font>
      <u/>
      <sz val="5.0"/>
      <color rgb="FF0000FF"/>
    </font>
    <font>
      <u/>
      <sz val="5.0"/>
      <color rgb="FF0000FF"/>
    </font>
    <font>
      <u/>
      <sz val="5.0"/>
      <color rgb="FF0000FF"/>
    </font>
    <font>
      <u/>
      <sz val="7.0"/>
      <color rgb="FF0000FF"/>
    </font>
    <font>
      <sz val="7.0"/>
      <color theme="1"/>
      <name val="Arial"/>
      <scheme val="minor"/>
    </font>
    <font>
      <u/>
      <sz val="6.0"/>
      <color rgb="FF0000FF"/>
    </font>
    <font>
      <u/>
      <sz val="7.0"/>
      <color rgb="FF0000FF"/>
    </font>
    <font>
      <u/>
      <color rgb="FF0000FF"/>
      <name val="Arial"/>
    </font>
    <font>
      <u/>
      <color rgb="FF0000FF"/>
      <name val="Arial"/>
    </font>
    <font>
      <color rgb="FF000000"/>
      <name val="Arial"/>
    </font>
    <font>
      <u/>
      <color rgb="FF0000FF"/>
    </font>
    <font>
      <color rgb="FF0F1111"/>
      <name val="&quot;Amazon Ember&quot;"/>
    </font>
    <font>
      <u/>
      <color rgb="FF0000FF"/>
    </font>
    <font>
      <color rgb="FF0F1111"/>
      <name val="Arial"/>
    </font>
    <font>
      <u/>
      <color rgb="FFB15DBA"/>
      <name val="Arial"/>
    </font>
    <font>
      <u/>
      <color rgb="FF0000FF"/>
    </font>
    <font>
      <color rgb="FFB15DBA"/>
      <name val="Arial"/>
    </font>
    <font>
      <b/>
      <u/>
      <sz val="5.0"/>
      <color rgb="FF000000"/>
    </font>
    <font>
      <b/>
      <u/>
      <sz val="5.0"/>
      <color rgb="FF0000FF"/>
    </font>
    <font>
      <u/>
      <sz val="5.0"/>
      <color rgb="FF000000"/>
      <name val="Arial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shrinkToFit="0" wrapText="0"/>
    </xf>
    <xf borderId="0" fillId="0" fontId="2" numFmtId="165" xfId="0" applyAlignment="1" applyFont="1" applyNumberFormat="1">
      <alignment shrinkToFit="0" wrapText="1"/>
    </xf>
    <xf borderId="0" fillId="0" fontId="2" numFmtId="0" xfId="0" applyAlignment="1" applyFont="1">
      <alignment readingOrder="0" shrinkToFit="0" wrapText="0"/>
    </xf>
    <xf borderId="0" fillId="0" fontId="2" numFmtId="165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6" numFmtId="0" xfId="0" applyAlignment="1" applyFont="1">
      <alignment horizontal="right" readingOrder="0" shrinkToFit="0" vertical="bottom" wrapText="1"/>
    </xf>
    <xf borderId="0" fillId="0" fontId="7" numFmtId="0" xfId="0" applyAlignment="1" applyFont="1">
      <alignment vertical="bottom"/>
    </xf>
    <xf borderId="0" fillId="2" fontId="2" numFmtId="0" xfId="0" applyAlignment="1" applyFill="1" applyFont="1">
      <alignment readingOrder="0" shrinkToFit="0" vertical="bottom" wrapText="0"/>
    </xf>
    <xf borderId="0" fillId="2" fontId="2" numFmtId="3" xfId="0" applyAlignment="1" applyFont="1" applyNumberFormat="1">
      <alignment horizontal="right" readingOrder="0" shrinkToFit="0" vertical="bottom" wrapText="1"/>
    </xf>
    <xf borderId="0" fillId="2" fontId="2" numFmtId="0" xfId="0" applyAlignment="1" applyFont="1">
      <alignment horizontal="right" shrinkToFit="0" vertical="bottom" wrapText="0"/>
    </xf>
    <xf borderId="0" fillId="2" fontId="2" numFmtId="0" xfId="0" applyAlignment="1" applyFont="1">
      <alignment horizontal="right" shrinkToFit="0" vertical="bottom" wrapText="1"/>
    </xf>
    <xf borderId="0" fillId="2" fontId="2" numFmtId="165" xfId="0" applyAlignment="1" applyFont="1" applyNumberFormat="1">
      <alignment horizontal="right" shrinkToFit="0" vertical="bottom" wrapText="1"/>
    </xf>
    <xf borderId="0" fillId="2" fontId="2" numFmtId="0" xfId="0" applyAlignment="1" applyFont="1">
      <alignment shrinkToFit="0" wrapText="0"/>
    </xf>
    <xf borderId="0" fillId="2" fontId="8" numFmtId="0" xfId="0" applyAlignment="1" applyFont="1">
      <alignment vertical="bottom"/>
    </xf>
    <xf borderId="0" fillId="2" fontId="3" numFmtId="0" xfId="0" applyAlignment="1" applyFont="1">
      <alignment shrinkToFit="0" wrapText="0"/>
    </xf>
    <xf borderId="0" fillId="2" fontId="2" numFmtId="165" xfId="0" applyAlignment="1" applyFont="1" applyNumberFormat="1">
      <alignment shrinkToFit="0" wrapText="1"/>
    </xf>
    <xf borderId="0" fillId="2" fontId="9" numFmtId="0" xfId="0" applyFont="1"/>
    <xf borderId="0" fillId="0" fontId="1" numFmtId="0" xfId="0" applyAlignment="1" applyFont="1">
      <alignment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1"/>
    </xf>
    <xf borderId="0" fillId="2" fontId="2" numFmtId="0" xfId="0" applyAlignment="1" applyFont="1">
      <alignment readingOrder="0" shrinkToFit="0" wrapText="0"/>
    </xf>
    <xf borderId="0" fillId="2" fontId="2" numFmtId="3" xfId="0" applyAlignment="1" applyFont="1" applyNumberFormat="1">
      <alignment horizontal="right" shrinkToFit="0" vertical="bottom" wrapText="1"/>
    </xf>
    <xf borderId="0" fillId="2" fontId="2" numFmtId="0" xfId="0" applyAlignment="1" applyFont="1">
      <alignment shrinkToFit="0" vertical="bottom" wrapText="0"/>
    </xf>
    <xf borderId="0" fillId="0" fontId="2" numFmtId="3" xfId="0" applyAlignment="1" applyFont="1" applyNumberFormat="1">
      <alignment horizontal="right" readingOrder="0" shrinkToFit="0" vertical="bottom" wrapText="1"/>
    </xf>
    <xf borderId="0" fillId="0" fontId="9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1"/>
    </xf>
    <xf borderId="0" fillId="0" fontId="10" numFmtId="0" xfId="0" applyAlignment="1" applyFont="1">
      <alignment readingOrder="0" shrinkToFit="0" wrapText="0"/>
    </xf>
    <xf borderId="0" fillId="0" fontId="2" numFmtId="165" xfId="0" applyAlignment="1" applyFont="1" applyNumberFormat="1">
      <alignment readingOrder="0" shrinkToFit="0" wrapText="1"/>
    </xf>
    <xf borderId="0" fillId="0" fontId="9" numFmtId="165" xfId="0" applyFont="1" applyNumberFormat="1"/>
    <xf borderId="0" fillId="0" fontId="2" numFmtId="165" xfId="0" applyAlignment="1" applyFont="1" applyNumberFormat="1">
      <alignment horizontal="right" readingOrder="0" shrinkToFit="0" vertical="bottom" wrapText="0"/>
    </xf>
    <xf borderId="0" fillId="3" fontId="2" numFmtId="0" xfId="0" applyAlignment="1" applyFill="1" applyFont="1">
      <alignment readingOrder="0" shrinkToFit="0" wrapText="0"/>
    </xf>
    <xf borderId="0" fillId="3" fontId="2" numFmtId="3" xfId="0" applyAlignment="1" applyFont="1" applyNumberFormat="1">
      <alignment horizontal="right" readingOrder="0" shrinkToFit="0" vertical="bottom" wrapText="1"/>
    </xf>
    <xf borderId="0" fillId="3" fontId="9" numFmtId="0" xfId="0" applyFont="1"/>
    <xf borderId="0" fillId="3" fontId="2" numFmtId="0" xfId="0" applyAlignment="1" applyFont="1">
      <alignment horizontal="right" readingOrder="0" shrinkToFit="0" vertical="bottom" wrapText="0"/>
    </xf>
    <xf borderId="0" fillId="3" fontId="2" numFmtId="0" xfId="0" applyAlignment="1" applyFont="1">
      <alignment horizontal="right" readingOrder="0" shrinkToFit="0" vertical="bottom" wrapText="1"/>
    </xf>
    <xf borderId="0" fillId="3" fontId="2" numFmtId="165" xfId="0" applyAlignment="1" applyFont="1" applyNumberFormat="1">
      <alignment horizontal="right" readingOrder="0" shrinkToFit="0" vertical="bottom" wrapText="1"/>
    </xf>
    <xf borderId="0" fillId="3" fontId="3" numFmtId="0" xfId="0" applyAlignment="1" applyFont="1">
      <alignment shrinkToFit="0" wrapText="0"/>
    </xf>
    <xf borderId="0" fillId="3" fontId="2" numFmtId="165" xfId="0" applyAlignment="1" applyFont="1" applyNumberFormat="1">
      <alignment shrinkToFit="0" wrapText="1"/>
    </xf>
    <xf borderId="0" fillId="0" fontId="2" numFmtId="165" xfId="0" applyAlignment="1" applyFont="1" applyNumberFormat="1">
      <alignment horizontal="right" vertical="bottom"/>
    </xf>
    <xf borderId="0" fillId="0" fontId="9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readingOrder="0" vertical="bottom"/>
    </xf>
    <xf borderId="0" fillId="0" fontId="1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horizontal="right" readingOrder="0" vertical="bottom"/>
    </xf>
    <xf borderId="0" fillId="0" fontId="12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 shrinkToFit="0" wrapText="1"/>
    </xf>
    <xf borderId="0" fillId="0" fontId="14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vertical="bottom"/>
    </xf>
    <xf borderId="0" fillId="0" fontId="15" numFmtId="165" xfId="0" applyAlignment="1" applyFont="1" applyNumberFormat="1">
      <alignment readingOrder="0" shrinkToFit="0" wrapText="0"/>
    </xf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16" numFmtId="0" xfId="0" applyAlignment="1" applyFont="1">
      <alignment readingOrder="0" shrinkToFit="0" wrapText="0"/>
    </xf>
    <xf borderId="0" fillId="0" fontId="16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readingOrder="0" shrinkToFit="0" wrapText="0"/>
    </xf>
    <xf borderId="0" fillId="0" fontId="9" numFmtId="165" xfId="0" applyAlignment="1" applyFont="1" applyNumberFormat="1">
      <alignment readingOrder="0"/>
    </xf>
    <xf borderId="0" fillId="0" fontId="9" numFmtId="164" xfId="0" applyAlignment="1" applyFont="1" applyNumberFormat="1">
      <alignment readingOrder="0"/>
    </xf>
    <xf borderId="0" fillId="0" fontId="9" numFmtId="0" xfId="0" applyAlignment="1" applyFont="1">
      <alignment readingOrder="0" shrinkToFit="0" wrapText="0"/>
    </xf>
    <xf borderId="0" fillId="0" fontId="16" numFmtId="0" xfId="0" applyAlignment="1" applyFont="1">
      <alignment shrinkToFit="0" wrapText="0"/>
    </xf>
    <xf borderId="0" fillId="4" fontId="9" numFmtId="0" xfId="0" applyAlignment="1" applyFill="1" applyFont="1">
      <alignment readingOrder="0"/>
    </xf>
    <xf borderId="0" fillId="4" fontId="9" numFmtId="165" xfId="0" applyFont="1" applyNumberFormat="1"/>
    <xf borderId="0" fillId="4" fontId="9" numFmtId="165" xfId="0" applyAlignment="1" applyFont="1" applyNumberFormat="1">
      <alignment readingOrder="0"/>
    </xf>
    <xf borderId="0" fillId="4" fontId="2" numFmtId="165" xfId="0" applyAlignment="1" applyFont="1" applyNumberFormat="1">
      <alignment horizontal="right" readingOrder="0" shrinkToFit="0" vertical="bottom" wrapText="0"/>
    </xf>
    <xf borderId="0" fillId="4" fontId="2" numFmtId="0" xfId="0" applyAlignment="1" applyFont="1">
      <alignment horizontal="right" readingOrder="0" shrinkToFit="0" vertical="bottom" wrapText="1"/>
    </xf>
    <xf borderId="0" fillId="4" fontId="9" numFmtId="0" xfId="0" applyFont="1"/>
    <xf borderId="0" fillId="4" fontId="19" numFmtId="0" xfId="0" applyAlignment="1" applyFont="1">
      <alignment readingOrder="0" shrinkToFit="0" wrapText="0"/>
    </xf>
    <xf borderId="0" fillId="4" fontId="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9" numFmtId="165" xfId="0" applyFont="1" applyNumberFormat="1"/>
    <xf borderId="0" fillId="0" fontId="16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 shrinkToFit="0" wrapText="0"/>
    </xf>
    <xf borderId="0" fillId="0" fontId="22" numFmtId="0" xfId="0" applyAlignment="1" applyFont="1">
      <alignment readingOrder="0" shrinkToFit="0" wrapText="0"/>
    </xf>
    <xf borderId="0" fillId="0" fontId="9" numFmtId="0" xfId="0" applyAlignment="1" applyFont="1">
      <alignment shrinkToFit="0" wrapText="1"/>
    </xf>
    <xf borderId="0" fillId="0" fontId="24" numFmtId="0" xfId="0" applyAlignment="1" applyFont="1">
      <alignment readingOrder="0" shrinkToFit="0" wrapText="0"/>
    </xf>
    <xf borderId="0" fillId="5" fontId="2" numFmtId="0" xfId="0" applyAlignment="1" applyFill="1" applyFont="1">
      <alignment horizontal="center" shrinkToFit="0" vertical="center" wrapText="0"/>
    </xf>
    <xf borderId="0" fillId="5" fontId="2" numFmtId="3" xfId="0" applyAlignment="1" applyFont="1" applyNumberFormat="1">
      <alignment horizontal="center" vertical="center"/>
    </xf>
    <xf borderId="0" fillId="5" fontId="2" numFmtId="0" xfId="0" applyAlignment="1" applyFont="1">
      <alignment horizontal="center" vertical="center"/>
    </xf>
    <xf borderId="0" fillId="5" fontId="2" numFmtId="165" xfId="0" applyAlignment="1" applyFont="1" applyNumberFormat="1">
      <alignment horizontal="center" vertical="center"/>
    </xf>
    <xf borderId="0" fillId="6" fontId="2" numFmtId="165" xfId="0" applyAlignment="1" applyFill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5" numFmtId="0" xfId="0" applyAlignment="1" applyFont="1">
      <alignment horizontal="center" vertical="center"/>
    </xf>
    <xf borderId="0" fillId="0" fontId="2" numFmtId="3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6" numFmtId="0" xfId="0" applyAlignment="1" applyFont="1">
      <alignment horizontal="center" shrinkToFit="0" vertical="center" wrapText="0"/>
    </xf>
    <xf borderId="0" fillId="0" fontId="2" numFmtId="3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7" fontId="27" numFmtId="0" xfId="0" applyAlignment="1" applyFill="1" applyFont="1">
      <alignment horizontal="center" vertical="center"/>
    </xf>
    <xf borderId="0" fillId="0" fontId="28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7" fontId="29" numFmtId="166" xfId="0" applyAlignment="1" applyFont="1" applyNumberFormat="1">
      <alignment horizontal="center"/>
    </xf>
    <xf borderId="0" fillId="0" fontId="30" numFmtId="0" xfId="0" applyAlignment="1" applyFont="1">
      <alignment horizontal="center"/>
    </xf>
    <xf borderId="0" fillId="0" fontId="2" numFmtId="166" xfId="0" applyAlignment="1" applyFont="1" applyNumberFormat="1">
      <alignment horizontal="center"/>
    </xf>
    <xf borderId="0" fillId="0" fontId="1" numFmtId="0" xfId="0" applyAlignment="1" applyFont="1">
      <alignment horizontal="center" vertical="center"/>
    </xf>
    <xf borderId="0" fillId="7" fontId="31" numFmtId="166" xfId="0" applyAlignment="1" applyFont="1" applyNumberFormat="1">
      <alignment horizontal="center"/>
    </xf>
    <xf borderId="0" fillId="0" fontId="32" numFmtId="0" xfId="0" applyAlignment="1" applyFont="1">
      <alignment horizontal="center" shrinkToFit="0" vertical="center" wrapText="0"/>
    </xf>
    <xf borderId="0" fillId="7" fontId="29" numFmtId="166" xfId="0" applyFont="1" applyNumberFormat="1"/>
    <xf borderId="0" fillId="0" fontId="33" numFmtId="0" xfId="0" applyAlignment="1" applyFont="1">
      <alignment horizontal="center" shrinkToFit="0" vertical="center" wrapText="0"/>
    </xf>
    <xf borderId="0" fillId="8" fontId="2" numFmtId="0" xfId="0" applyAlignment="1" applyFill="1" applyFont="1">
      <alignment horizontal="center" shrinkToFit="0" vertical="center" wrapText="0"/>
    </xf>
    <xf borderId="0" fillId="8" fontId="2" numFmtId="3" xfId="0" applyAlignment="1" applyFont="1" applyNumberFormat="1">
      <alignment horizontal="center" shrinkToFit="0" vertical="center" wrapText="1"/>
    </xf>
    <xf borderId="0" fillId="8" fontId="2" numFmtId="0" xfId="0" applyAlignment="1" applyFont="1">
      <alignment horizontal="center" shrinkToFit="0" vertical="center" wrapText="1"/>
    </xf>
    <xf borderId="0" fillId="8" fontId="2" numFmtId="166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0" fontId="2" numFmtId="165" xfId="0" applyAlignment="1" applyFont="1" applyNumberFormat="1">
      <alignment horizontal="left" shrinkToFit="0" vertical="center" wrapText="1"/>
    </xf>
    <xf borderId="0" fillId="0" fontId="5" numFmtId="0" xfId="0" applyAlignment="1" applyFont="1">
      <alignment horizontal="left" shrinkToFit="0" vertical="center" wrapText="0"/>
    </xf>
    <xf borderId="0" fillId="0" fontId="34" numFmtId="0" xfId="0" applyAlignment="1" applyFont="1">
      <alignment horizontal="left" shrinkToFit="0" vertical="center" wrapText="0"/>
    </xf>
    <xf borderId="0" fillId="0" fontId="35" numFmtId="0" xfId="0" applyAlignment="1" applyFont="1">
      <alignment readingOrder="0" shrinkToFit="0" wrapText="0"/>
    </xf>
    <xf borderId="0" fillId="0" fontId="9" numFmtId="0" xfId="0" applyAlignment="1" applyFont="1">
      <alignment horizontal="center"/>
    </xf>
    <xf borderId="0" fillId="0" fontId="36" numFmtId="0" xfId="0" applyAlignment="1" applyFont="1">
      <alignment readingOrder="0" shrinkToFit="0" wrapText="0"/>
    </xf>
    <xf borderId="0" fillId="7" fontId="29" numFmtId="0" xfId="0" applyAlignment="1" applyFont="1">
      <alignment readingOrder="0"/>
    </xf>
    <xf borderId="0" fillId="0" fontId="37" numFmtId="0" xfId="0" applyAlignment="1" applyFont="1">
      <alignment readingOrder="0" shrinkToFit="0" wrapText="0"/>
    </xf>
    <xf borderId="0" fillId="0" fontId="38" numFmtId="0" xfId="0" applyAlignment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Cost (4000)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'Estimated BOM 26-27'!$K$2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'Estimated BOM 26-27'!$J$3:$J$9</c:f>
            </c:strRef>
          </c:cat>
          <c:val>
            <c:numRef>
              <c:f>'Estimated BOM 26-27'!$K$3:$K$9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19050</xdr:rowOff>
    </xdr:from>
    <xdr:ext cx="5715000" cy="3533775"/>
    <xdr:graphicFrame>
      <xdr:nvGraphicFramePr>
        <xdr:cNvPr id="22347338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omedepot.com/p/JM-EAGLE-1-2-in-x-10-ft-600-PSI-White-Schedule-40-PVC-Pressure-Plain-End-Pipe-530048/100113200" TargetMode="External"/><Relationship Id="rId42" Type="http://schemas.openxmlformats.org/officeDocument/2006/relationships/hyperlink" Target="https://www.pvcfittingsonline.com/collections/sch-40-pvc-caps/products/447-020-2-schedule-40-pvc-cap" TargetMode="External"/><Relationship Id="rId41" Type="http://schemas.openxmlformats.org/officeDocument/2006/relationships/hyperlink" Target="https://www.michaels.com/product/primary-chenille-pipe-cleaners-value-pack-100ct-by-creatology-10525295?michaelsStore=1329&amp;inv=5" TargetMode="External"/><Relationship Id="rId44" Type="http://schemas.openxmlformats.org/officeDocument/2006/relationships/hyperlink" Target="https://www.homedepot.com/p/Charlotte-Pipe-2-in-x-10-ft-White-Schedule-40-PVC-Pipe-Solid-Core-PVC-07200-0600/100348475" TargetMode="External"/><Relationship Id="rId43" Type="http://schemas.openxmlformats.org/officeDocument/2006/relationships/hyperlink" Target="https://www.homedepot.com/p/Oatey-2-in-ABS-Pipe-Test-Cap-with-Knockout-39101D/100137732" TargetMode="External"/><Relationship Id="rId46" Type="http://schemas.openxmlformats.org/officeDocument/2006/relationships/hyperlink" Target="https://www.homedepot.com/p/Rust-Oleum-Painter-s-Touch-2X-12-oz-Gloss-Sun-Yellow-General-Purpose-Spray-Paint-334046/307244829" TargetMode="External"/><Relationship Id="rId45" Type="http://schemas.openxmlformats.org/officeDocument/2006/relationships/hyperlink" Target="https://www.homedepot.com/p/Everbilt-5-32-in-x-75-ft-Neon-Diamond-Braided-Polypropylene-Rope-with-Winder-72846/206094313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amazon.com/Underwater-bi-Directional-Waterproof-Photography-Exploration/dp/B09BVKKKTJ?th=1" TargetMode="External"/><Relationship Id="rId3" Type="http://schemas.openxmlformats.org/officeDocument/2006/relationships/hyperlink" Target="https://www.amazon.com/Underwater-bi-Directional-Waterproof-Photography-Exploration/dp/B09BVKB3KD?th=1" TargetMode="External"/><Relationship Id="rId4" Type="http://schemas.openxmlformats.org/officeDocument/2006/relationships/hyperlink" Target="https://www.amazon.com/Peristaltic-brushless-Adjustable-Liquid-KPHM600/dp/B09PDS7Z51?ref_" TargetMode="External"/><Relationship Id="rId9" Type="http://schemas.openxmlformats.org/officeDocument/2006/relationships/hyperlink" Target="https://www.amazon.com/Arducam-Camera-Lightburn-Raspberry-Windows/dp/B0C1G73QZD" TargetMode="External"/><Relationship Id="rId48" Type="http://schemas.openxmlformats.org/officeDocument/2006/relationships/hyperlink" Target="https://www.homedepot.com/p/Everbilt-3-16-in-x-3-3-8-in-Zinc-Screw-Hook-824401/314745390" TargetMode="External"/><Relationship Id="rId47" Type="http://schemas.openxmlformats.org/officeDocument/2006/relationships/hyperlink" Target="https://www.homedepot.com/p/Charlotte-Pipe-1-1-2-in-x-2-ft-PVC-DWV-Schedule-40-Pipe-PVC071120200HA/100581718" TargetMode="External"/><Relationship Id="rId49" Type="http://schemas.openxmlformats.org/officeDocument/2006/relationships/hyperlink" Target="https://www.homedepot.com/p/Coroplast-48-in-x-96-in-x-0-157-in-4mm-White-Corrugated-Twinwall-Plastic-Sheet-CP4896S/205351385" TargetMode="External"/><Relationship Id="rId5" Type="http://schemas.openxmlformats.org/officeDocument/2006/relationships/hyperlink" Target="https://a.co/d/fJQ7PAU" TargetMode="External"/><Relationship Id="rId6" Type="http://schemas.openxmlformats.org/officeDocument/2006/relationships/hyperlink" Target="https://bluerobotics.com/store/comm-control-power/control/navigator/" TargetMode="External"/><Relationship Id="rId7" Type="http://schemas.openxmlformats.org/officeDocument/2006/relationships/hyperlink" Target="https://blu-sub.com/products/subsea-depth-sensor-m8?srsltid=AfmBOookGqkqT2gmomWs3OF_bwLJF90VyGukCe-GFSqDtI-OyxeKcNgC" TargetMode="External"/><Relationship Id="rId8" Type="http://schemas.openxmlformats.org/officeDocument/2006/relationships/hyperlink" Target="https://www.dfrobot.com/product-2760.html?gad_source=1&amp;gad_campaignid=22388643497&amp;gbraid=0AAAAADucPlAP-twumsBTCZAXvKJhsjNvo&amp;gclid=CjwKCAiA_orJBhBNEiwABkdmjK-3anc8Ofp9iYc8QSh-6Mka4nqgBuPSD-T08QSt133_0XwMI1OCbxoCJTMQAvD_BwE" TargetMode="External"/><Relationship Id="rId31" Type="http://schemas.openxmlformats.org/officeDocument/2006/relationships/hyperlink" Target="https://www.digikey.com/en/products/detail/littelfuse-inc/HLJC1001G/F6110-ND/3427070" TargetMode="External"/><Relationship Id="rId30" Type="http://schemas.openxmlformats.org/officeDocument/2006/relationships/hyperlink" Target="https://www.digikey.com/en/products/detail/littelfuse-inc/0895025.U/F4345-ND/3305707" TargetMode="External"/><Relationship Id="rId33" Type="http://schemas.openxmlformats.org/officeDocument/2006/relationships/hyperlink" Target="https://bluerobotics.com/store/rov/bluerov2-components-spares/standoff-m3x0-5-212-mf/" TargetMode="External"/><Relationship Id="rId32" Type="http://schemas.openxmlformats.org/officeDocument/2006/relationships/hyperlink" Target="https://www.digikey.com/en/products/detail/anderson-power-products-inc/SBS50BLU-BK/10650548" TargetMode="External"/><Relationship Id="rId35" Type="http://schemas.openxmlformats.org/officeDocument/2006/relationships/hyperlink" Target="https://www.digikey.com/en/products/detail/anderson-power-products-inc/5915-BK/10650335" TargetMode="External"/><Relationship Id="rId34" Type="http://schemas.openxmlformats.org/officeDocument/2006/relationships/hyperlink" Target="https://bluerobotics.com/store/rov/bluerov2-components-spares/standoff-m3x0-5-31-mf/" TargetMode="External"/><Relationship Id="rId37" Type="http://schemas.openxmlformats.org/officeDocument/2006/relationships/hyperlink" Target="https://www.sparkfun.com/sparkfun-logic-level-converter-bi-directional.html" TargetMode="External"/><Relationship Id="rId36" Type="http://schemas.openxmlformats.org/officeDocument/2006/relationships/hyperlink" Target="https://bluerobotics.com/store/cables-connectors/cables/fathom-rov-tether-by-the-meter/" TargetMode="External"/><Relationship Id="rId39" Type="http://schemas.openxmlformats.org/officeDocument/2006/relationships/hyperlink" Target="https://www.amazon.com/Bright-Starts-Oball-Easy-Grasp-Classic-Ball-BPA-Free-Age-Newborn/dp/B00ZRD99C0/ref=sr_1_3?crid=1E43PFWKY2KGT&amp;dib=eyJ2IjoiMSJ9.s18FknBioS8qqamkiAl5ESLXXQlk-U2t_GbCey0vCGVtASABrepVDrbLpXHCQOrlkclX4XXFPK5EF2vtUVIhWkiOcM-PsKlKwXcF9RhMUR8J9uTrkueiPYPjA7y7w453t9P-2vU7Q_Fs7BWLEBZjXhzH0oG-kEN91uT7lalyqwu8eso4DxZ1GQTVXm51ksct-Uf0JgilHUB9b6JrdwIWGVe6PhxXWIWbuTVlOWwAX9c.gknv6CLuKEv-XZSIubkIFLs-2vccTWoU1yWnrMfSjsk&amp;dib_tag=se&amp;keywords=O%2Bball&amp;qid=1759779548&amp;sprefix=o%2Bball%2Caps%2C258&amp;sr=8-3&amp;th=1" TargetMode="External"/><Relationship Id="rId38" Type="http://schemas.openxmlformats.org/officeDocument/2006/relationships/hyperlink" Target="https://www.amazon.com/BASIKER-BS1-2x1200LM-Stainless-Underwater/dp/B091Y64V2G/ref=cm_cr_arp_d_product_top?ie=UTF8&amp;th=1" TargetMode="External"/><Relationship Id="rId62" Type="http://schemas.openxmlformats.org/officeDocument/2006/relationships/hyperlink" Target="https://us.rs-online.com/product/mg-chemicals/832fx-450ml/71033671/?keyword=832FX-450ML" TargetMode="External"/><Relationship Id="rId61" Type="http://schemas.openxmlformats.org/officeDocument/2006/relationships/hyperlink" Target="https://www.walmart.com/ip/26-Pcs-Threaded-Inserts-M6-Brass-Heat-Set-Insert-for-3D-Printing-M6x8x5mm/15698402213?wmlspartner=wlpa&amp;selectedSellerId=571&amp;selectedOfferId=69202D0A2161380584E47F4358CF92FA&amp;conditionGroupCode=1&amp;sid=b4bb494c-d2b0-455d-9cca-1b10d56d42f1" TargetMode="External"/><Relationship Id="rId20" Type="http://schemas.openxmlformats.org/officeDocument/2006/relationships/hyperlink" Target="https://www.amazon.com/3DHoJor-Update-Filament-Printer-Cardboard/dp/B0F18YDPHM/ref=mp_s_a_1_6_sspa?dib=eyJ2IjoiMSJ9.fXSAolwsB0y_lm7AA7aPBDLM5y6evr8GYgJDqWmhrg29ew9nuSc2ixkFK7SRutpHzRrGfZNojt_-ZzwqzjDMaVp_ksH2o42iJkwOWrXTr8EEDaKTrp1JE7VFtT71KyR_2PAbCYi9K_cKx6WFxrBYQjIBPt_RL8ISxDsqxRhH5GIkqHLYHeWjtiaV8ps0PWkUhJhrAru10Tgv8FvGafGjZQ.-HTQOyahsTo6rCy6ruhcNTYAnCNlr9Mkv6voZeDKc2U&amp;dib_tag=se&amp;keywords=petg+filament&amp;qid=1770597372&amp;sr=8-6-spons&amp;sp_csd=d2lkZ2V0TmFtZT1zcF9waG9uZV9zZWFyY2hfbXRm&amp;psc=" TargetMode="External"/><Relationship Id="rId64" Type="http://schemas.openxmlformats.org/officeDocument/2006/relationships/vmlDrawing" Target="../drawings/vmlDrawing1.vml"/><Relationship Id="rId63" Type="http://schemas.openxmlformats.org/officeDocument/2006/relationships/drawing" Target="../drawings/drawing2.xml"/><Relationship Id="rId22" Type="http://schemas.openxmlformats.org/officeDocument/2006/relationships/hyperlink" Target="https://bluerobotics.com/store/watertight-enclosures/locking-series/wte-end-cap-vp/" TargetMode="External"/><Relationship Id="rId21" Type="http://schemas.openxmlformats.org/officeDocument/2006/relationships/hyperlink" Target="https://bluerobotics.com/store/watertight-enclosures/locking-series/wte-locking-tube-r1-vp/" TargetMode="External"/><Relationship Id="rId24" Type="http://schemas.openxmlformats.org/officeDocument/2006/relationships/hyperlink" Target="https://www.amazon.com/Waterproof-Coreless-DSSERVO-Stainless-Climbing/dp/B0D4YKK4YQ/ref=asc_df_B0D4YKK4YQ?tag=bingshoppinga-20&amp;linkCode=df0&amp;hvadid=79989681303546&amp;hvnetw=o&amp;hvqmt=e&amp;hvbmt=be&amp;hvdev=c&amp;hvlocint=&amp;hvlocphy=65831&amp;hvtargid=pla-4583589159695688&amp;psc=1&amp;msclkid=c5882bd61f0b181f5ac6424d90c49f9a" TargetMode="External"/><Relationship Id="rId23" Type="http://schemas.openxmlformats.org/officeDocument/2006/relationships/hyperlink" Target="https://bluerobotics.com/store/watertight-enclosures/locking-series/wte-flange-vp/" TargetMode="External"/><Relationship Id="rId60" Type="http://schemas.openxmlformats.org/officeDocument/2006/relationships/hyperlink" Target="https://www.amazon.com/Raspberry-Pi-Active-Cooler/dp/B0CLXZBR5P/ref=sr_1_4?crid=1UD1SMVZ84IUM&amp;dib=eyJ2IjoiMSJ9.XcDQF_A3NgYJZjRkehy45NXY3gmsLFyIOJY8YkAhHjQFXZwSTdqhpa05-OKLrVd-TfkRO7H0wOYpTPpngjxhwbmfZOdwZsb2P9_9ICJ3JHhcBB9d8cjxEJWKn_h1tBuhWnHk0r66MFSCjQZUlPXrRUcVWhx_HKzMMrQsDaVcnXivOJJ8UdaOiW0ezp2uQYzQm_-CRpzs4fQI-KWZ4TWpNBJmS6ucpgfPeHeMh9rl-gbhLlZZ5DG3fboa1azV3wVubF0K44Y6F2lvSJ2mukpQEjW8gH-1a7YStlfC3Aoi2ok.Qix50YbwJWJRcL7MZGiEVoVDniPeSXJjdaSnrcQ0QA8&amp;dib_tag=se&amp;keywords=raspberry+pi+5+active+cooler&amp;qid=1775694133&amp;s=electronics&amp;sprefix=raspberry+pi+5+active+coole%2Celectronics%2C138&amp;sr=1-4" TargetMode="External"/><Relationship Id="rId26" Type="http://schemas.openxmlformats.org/officeDocument/2006/relationships/hyperlink" Target="https://www.rotometals.com/zinc-disc-3-diameter-x-1-thick/" TargetMode="External"/><Relationship Id="rId25" Type="http://schemas.openxmlformats.org/officeDocument/2006/relationships/hyperlink" Target="https://bluerobotics.com/store/watertight-enclosures/wte-vp/" TargetMode="External"/><Relationship Id="rId28" Type="http://schemas.openxmlformats.org/officeDocument/2006/relationships/hyperlink" Target="https://flipsky.net/products/flipsky-4-20s-lipo-external-ubec-20a-5-0v-default-6-0v-7-4v-8-4v-for-rc-car-fixed-wing-aircraft-robot-arm-black?variant=46965991244017&amp;country=US&amp;currency=USD" TargetMode="External"/><Relationship Id="rId27" Type="http://schemas.openxmlformats.org/officeDocument/2006/relationships/hyperlink" Target="https://usstainless.com/deck-hardware/us-stainless-stainless-steel-316-hinge-3-marine-grade/" TargetMode="External"/><Relationship Id="rId29" Type="http://schemas.openxmlformats.org/officeDocument/2006/relationships/hyperlink" Target="https://www.coremarkmetals.com/6061-t6511-aluminum-round-bar?sk=02710&amp;gad_source=1&amp;gad_campaignid=23032049024&amp;gbraid=0AAAAADsYG1loH_7FY5gQ-dQUTcIey2anb&amp;gclid=Cj0KCQiA7-rMBhCFARIsAKnLKtBvh4NVh1Dc599_YASZ-ysy-euXO59mka66rzbf0OZBHtXULTLcx4caAkEDEALw_wcB" TargetMode="External"/><Relationship Id="rId51" Type="http://schemas.openxmlformats.org/officeDocument/2006/relationships/hyperlink" Target="https://www.amazon.com/HANGLIFE-Heat-Set-Threaded-Printing-Components/dp/B0CS6XGMFD/ref=sr_1_4?crid=21MWXGKS9W7KX&amp;dib=eyJ2IjoiMSJ9.umZ_BL7Z-e8rcgx7P5Sx04il4fv2xu4L3J-FvRS_Wst7xgqjuoSiXqMRmGVb8JT3Ru2HDyzc1XI-OG9_Atxqum2dsZ0Cul8jcxNfmPTHukmiAHZikiY2ZIwCc3W94vc1BOvSTVY5v-Bbam89EHlloGWN05pef2czZm9WRkZmQACUgR3e8cPLfjh6skW122htKI-WdTQF_PzMVLrcAdwdrBmTAHgTnWNF5NqkbOgNCpbyu-RAHzNcc_PusBwLJER4KFuFi2lam-KNkR_jJ2kUZ4U5aeFaW2D50N62ikqD1bk.WvT54sBUY1mw9Pxq6bYU1YNtD11qScZ6RWHvBFxVo3g&amp;dib_tag=se&amp;keywords=M4%2Bthreaded%2Binserts&amp;qid=1772421490&amp;s=industrial&amp;sprefix=m4%2Bthreaded%2Binserts%2Cindustrial%2C139&amp;sr=1-4&amp;th=1" TargetMode="External"/><Relationship Id="rId50" Type="http://schemas.openxmlformats.org/officeDocument/2006/relationships/hyperlink" Target="https://www.amazon.com/Conductor-Electrical-Stranded-Extension-Automotive/dp/B0CN76L8G3/ref=sr_1_1_sspa?crid=ISP37XE77HCA&amp;dib=eyJ2IjoiMSJ9.0R4K-R9ND0Gn9BJSAu1pmqLPUxZ-P-o4lIq4Khjz0K0gqfQ9s-kVtWP5Zu6ffeC6L4QoDtFoJiEAytJGaFQDEaVxhIwymM2pgEMKKLgqcom-zFn8V_hWrYqnJBxdQ1TwKVAJGPioFZVHreeEwW3JSLt5yCddOM0ScvRZlVFPOi3TrRrlPFcbpVkIq00-bzPKp5cTdZegklio0rzxkO7a83c_t7hueqi2aS6NMMwWF-Qz97R_gFS8cApeJaTQ_errpBYc3FEVbjFQC93jLpH3JoB8p9_rBx05QVfMsp-eaSA.SBa7iJFoL_-dompenMmjtVvhs-NArobbzbSvPsYWNu4&amp;dib_tag=se&amp;keywords=18%2Bgauge%2B2%2Bwire%2Bcable%2B25ft&amp;qid=1769459948&amp;sprefix=18%2Bgauge%2B2%2Bwire%2Bcable%2B25ft%2Caps%2C187&amp;sr=8-1-spons&amp;sp_csd=d2lkZ2V0TmFtZT1zcF9hdGY&amp;th=1" TargetMode="External"/><Relationship Id="rId53" Type="http://schemas.openxmlformats.org/officeDocument/2006/relationships/hyperlink" Target="https://www.amazon.com/Oxygen-Free-Insulated-Electrical-Automotive-Trailer/dp/B0B6HV5TXQ/ref=sr_1_1_sspa?crid=3L63703ONMUWH&amp;dib=eyJ2IjoiMSJ9.ATCuaEDTxVJWnBiScSLgh9jUDsUzeJjhhshtGdwheWy5cBoyTpmOUwVEgkBUpSXKl4RbyGy7OTu0goBSp60Wlc0TN3WrQyvQHCoRVQT6gu0bcm9bq0sn9JJhZJpu3zlVW1-WAS2e6v4jKbfsgwJ98Y7oCZX8nQVTMMXpv-qOzkdKcYU6YK21mWl2LNBI9j0p0R6DD_DEANlbYyHK8gWNXj1Juv_VVKxWU59fwJMl_bY._Mtx0NAYLxzd5fR1rcy1mm-Sl1ZtXaois5C4gLHVsoY&amp;dib_tag=se&amp;keywords=10%2Bawg%2Bmarine%2Bwire%2B30%2Bft&amp;qid=1771999641&amp;sprefix=10%2Bawg%2Bmarine%2Bwire%2B30%2Bft%2Caps%2C132&amp;sr=8-1-spons&amp;sp_csd=d2lkZ2V0TmFtZT1zcF9hdGY&amp;th=1" TargetMode="External"/><Relationship Id="rId52" Type="http://schemas.openxmlformats.org/officeDocument/2006/relationships/hyperlink" Target="https://www.amazon.com/Fgruh-Washers-Assortment-Stainless-Printer/dp/B0FG2D92BV/ref=sr_1_1_sspa?crid=2YEHDYAMFZWQT&amp;dib=eyJ2IjoiMSJ9.ASU48-LPd6PhHedDxTR13VPTC9YFMb5ZJhAvsuTe_vARqRLs5Tk5UwTSBZZ3HVBUCLBY89aW5uOUCqEBV3zV3qDGKKUJnGevyNweqA8DBBTv7LcdZ9RLGkzR3N7uWn5vBOFUWO__nlCJo3NC6QsgCWQKYz-FP-P_6e2D2C_NbYmDXBmnLlFmTCwKTBHMAF3w9GAg5BbPChuQtUIq0LYB5wmbQoSsEhmFDNsztw3wdFLHTcQDGSi--zOO2T_djjoI0fxCrAr6FavKvoAOdMw9w0ZAICibrF98gIJj5Jkaf_8.elkRCZfKZK1BK_Cnjy3LZ-DadiiNffbkhKYNpbXOLTs&amp;dib_tag=se&amp;keywords=M4%2Bscrews&amp;qid=1772422230&amp;s=industrial&amp;sprefix=m%2Bscrews%2Cindustrial%2C104&amp;sr=1-1-spons&amp;sp_csd=d2lkZ2V0TmFtZT1zcF9hdGY&amp;th=1" TargetMode="External"/><Relationship Id="rId11" Type="http://schemas.openxmlformats.org/officeDocument/2006/relationships/hyperlink" Target="https://www.amazon.com/Pico-Pre-Soldered-Compatible-Microcontroller-Dual-Architecture/dp/B0DP54FWX1?sr=1-3" TargetMode="External"/><Relationship Id="rId55" Type="http://schemas.openxmlformats.org/officeDocument/2006/relationships/hyperlink" Target="https://www.amazon.com/ANMBEST-Terminal-Mounting-Distribution-Amplifier/dp/B0C7PYCZZ4/ref=sr_1_3?crid=3CQQ15IE9N7A8&amp;dib=eyJ2IjoiMSJ9.ev30K9ePMRSrMZuWWfrQU7v2KfH_ECOc5vEwZKNb2hG0DmIcfO3-emdOEeRL7FmF1RedUBiNyl7MYvpPHbKfQiVDKYRj2WXczHCoi96wknPHTWM-GduKQb2AV-99lEnlSjB0rxDf--nhze7Drldc9sJUR0nBDeLhQ7b1lF0yuRsogG7yMz45ciS6s6xIbmPHooycxORkouEKQLavEryvsEKCQEbHBcuGA7h77pxp1qo.gSUOaWzgETUOgwxoVlLuX6qAysrxFZ78T_9pV_ra3hc&amp;dib_tag=se&amp;keywords=power%2Bblock%2Bto%2Bdistribute%2B5V%2Bpower%2Bwires%2B25A&amp;nsdOptOutParam=true&amp;qid=1773855782&amp;sprefix=power%2Bblock%2Bto%2Bdistribute%2B5v%2Bpower%2Bwires%2B25a%2Caps%2C163&amp;sr=8-3&amp;th=1" TargetMode="External"/><Relationship Id="rId10" Type="http://schemas.openxmlformats.org/officeDocument/2006/relationships/hyperlink" Target="https://a.co/d/0peiM8n" TargetMode="External"/><Relationship Id="rId54" Type="http://schemas.openxmlformats.org/officeDocument/2006/relationships/hyperlink" Target="https://www.amazon.com/LM2596-Converter-3-0-40V-1-5-35V-Supply/dp/B08NV3JCBC?th=1" TargetMode="External"/><Relationship Id="rId13" Type="http://schemas.openxmlformats.org/officeDocument/2006/relationships/hyperlink" Target="https://www.amazon.com/Logitech-940-000110-Gamepad-F310/dp/B003VAHYQY/ref=sr_1_1?sr=8-1" TargetMode="External"/><Relationship Id="rId57" Type="http://schemas.openxmlformats.org/officeDocument/2006/relationships/hyperlink" Target="https://www.amazon.com/Connectors-Avarbuvo-Electrical-Splice-Terminals/dp/B0D8731XH4/ref=bmx_dp_d_sccl_1_2/141-6915545-2564200?pd_rd_w=XAvG3&amp;content-id=amzn1.sym.4e69f312-6a4c-4f90-a482-aeea4027b951&amp;pf_rd_p=4e69f312-6a4c-4f90-a482-aeea4027b951&amp;pf_rd_r=B18MVS825WYXYY2FZ6Q1&amp;pd_rd_wg=JIw16&amp;pd_rd_r=ca379266-e46d-4df9-aa35-66f8d8ed586d&amp;pd_rd_i=B0D8731XH4&amp;th=1" TargetMode="External"/><Relationship Id="rId12" Type="http://schemas.openxmlformats.org/officeDocument/2006/relationships/hyperlink" Target="https://www.amazon.com/Interface-Arduino-Raspberry-Breakout-Cable%EF%BC%88Pack/dp/B07MTTLF75" TargetMode="External"/><Relationship Id="rId56" Type="http://schemas.openxmlformats.org/officeDocument/2006/relationships/hyperlink" Target="https://www.amazon.com/11inch-Pigtail-Equipment-Installed-Replacement/dp/B0DLKPWF1G/ref=sr_1_3?crid=S9F9TD9QNNPN&amp;dib=eyJ2IjoiMSJ9.gTA3OAdYBjlRJS0YgK4SKdQzQxii5PckvLLBsz8efQ46vg3-cZrOQsao_fky01Egv4wNr1ImP04CdH_PiIfSt4fXKD3cpgTJblzxI89r5Dv5cKkTQkw52Tcy6p9Kwkp1MPwHAxz5bgHzOB-4d5ztzUxT7z8P5yGaBP-wXf9OirTdFhdMO0GTIs-r5-Sub6ah4Ln3IaHYoepnQOi_xLqrh4rp9IolP4GBVQOuLq75Fd8.9HxedmwDDvEo6lSNNxv-XEKj2KdjdGW-fMGFXvhl86A&amp;dib_tag=se&amp;keywords=usb%2Bc%2Bpower%2Bcable%2Bto%2Bwire%2Bhead&amp;qid=1773856552&amp;sprefix=usb%2Bc%2Bpower%2Bcable%2Bto%2Bwire%2Bhead%2Caps%2C182&amp;sr=8-3&amp;th=1" TargetMode="External"/><Relationship Id="rId15" Type="http://schemas.openxmlformats.org/officeDocument/2006/relationships/hyperlink" Target="https://www.amazon.com/MECCANIXITY-Silicone-Flexible-Constant-Temperature/dp/B0CLS2KVYM" TargetMode="External"/><Relationship Id="rId59" Type="http://schemas.openxmlformats.org/officeDocument/2006/relationships/hyperlink" Target="https://www.amazon.com/risingsaplings-Position-Terminal-Distribution-Module/dp/B0DBW6XH66/ref=sr_1_10?crid=2RMFUZS9FA89R&amp;dib=eyJ2IjoiMSJ9.oO755sUpWjztvt_2lc_kkCxCJsXejy0jM9ppSsiSjPIXfabd8OoDe2vR4FQ6LljEa7ffWdBaBh7WWepltftpEcauwcSZGB-J3lbKdB90SmhJA2h8VOzgoaL0OuE96os1U1I7b3TTg-FJ7yT_3E6VMn61anmm-Ru8E2e4bVUpjsHwwpBOC-f_ghbcfX9d1WSlAf8ZQewMJUXPrqpHqk4NGTOHZgmiye1BbevmgYjTJ33XT8unuPmQPH58NpSyAMXBGwIVEg4FnVKU-wRSevxIwaYkRCCSAFuKiaNzezRcI0A.P-AoZnPxb2cEBuQryrNcSE32lJ1mXbYN2TkCTRF9lyo&amp;dib_tag=se&amp;keywords=30a+power+distribution+blocks+2*6+16AWG&amp;qid=1773857529&amp;s=industrial&amp;sprefix=30a+power+distribution+blocks+2+6+16awg%2Cindustrial%2C133&amp;sr=1-10" TargetMode="External"/><Relationship Id="rId14" Type="http://schemas.openxmlformats.org/officeDocument/2006/relationships/hyperlink" Target="https://www.zoro.com/zoro-select-foam-sheet-water-resistant-closed-cell-12-in-w-12-in-l-316-in-thick-black-zusansr-303/i/G6758439/" TargetMode="External"/><Relationship Id="rId58" Type="http://schemas.openxmlformats.org/officeDocument/2006/relationships/hyperlink" Target="https://www.amazon.com/VIABRICO-Extension-Lights-Voltage-Connectors/dp/B0B49TQZHV/ref=sr_1_4?crid=2SAZW4MS6LL66&amp;dib=eyJ2IjoiMSJ9.-5pQES_4g60hWRP5std-zgDNUs2fu3epL66DCSeIxIfwQzLD-nREksQZA8HuGkhvzsOtIP8QOrpbhOAiHXko1jLLKz9PT3tVp57VM0RRdgY-my0dsaGxufAEFUhyyJL8-0JxX_ynQAEiqdQWHiOoN8iLoL2Urn3mh88mDq5ZTbxBKzhtKGRwu_D8pvt6g03mBliTxDVNBZOm_UXd-Uj1N8yr69O3dZ8kph2gC4ok5AB47xd2pHr4CSRzyXHyjnSvSnV86KTOlPEGGgXFK_oPfAswJuZcuGe1TzRTYhbwkLc.dTJXkrbkf_Txwv1_Q0eX23fOrZzbKQ0y0xzusV0ii5k&amp;dib_tag=se&amp;keywords=16AWG%2Bwire&amp;qid=1773856983&amp;s=industrial&amp;sprefix=16awg%2Bwire%2Cindustrial%2C218&amp;sr=1-4&amp;th=1" TargetMode="External"/><Relationship Id="rId17" Type="http://schemas.openxmlformats.org/officeDocument/2006/relationships/hyperlink" Target="https://www.doitbest.com/product/358062/loctite-0-85-oz-marine-epoxy-358062/?psrid=wtbs_69a4ce4bebbd9c72e5832940" TargetMode="External"/><Relationship Id="rId16" Type="http://schemas.openxmlformats.org/officeDocument/2006/relationships/hyperlink" Target="https://bluerobotics.com/store/watertight-enclosures/buoyancy/float-r1/" TargetMode="External"/><Relationship Id="rId19" Type="http://schemas.openxmlformats.org/officeDocument/2006/relationships/hyperlink" Target="https://power.tenergy.com/tenergy-nimh-12v-2000mah-battery-pack-w-bare-leads/" TargetMode="External"/><Relationship Id="rId18" Type="http://schemas.openxmlformats.org/officeDocument/2006/relationships/hyperlink" Target="https://daygreen.com/products/36v-48v-to-12v-40a-480w-dc-dc-step-down-converter-voltage-regulator?srsltid=AfmBOopCuBx1HCG0NDE4vn2cubDxLRqgNXKltEPszqxbO5RViXN_Xovf&amp;variant=40506524991535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expedia.com/Flight-Information?insuranceContinuationToken=TgAAAPA_eyJzZWxlY3RlZE9mZmVyRGV0YWlscyI6W10sInBheWxvYWRJZCI6IjM0ZDlkNzBmLTEwNWItNGZmNy1iZTYwLWMwNTMyYWJhNTA4MyJ9&amp;journeyContinuationId=AQr7BAqjBHY1LXNvcy0xOTQ2OTAzNDEyMTk0MDE0YWJmM2Y5ODkwYTBiZThmOC02LTF-OC5TLjF-QVFvQ0NBRVNCd2pVQkJBQkdBRW9BbGdDY0FGNkEySm1jNGdCaGRMaVhaQUJCYUlCQVU2cUFRY0tBMFJHVnhBQ3NnRUhDZ05aV1ZRUUFRfkFRcHdDallJd1lZQkVnUXhOelU0R0tPeEFTQ1l6Z0VvaWNPUUF6REN4SkFET0VkQUFGZ0JhZ2hUVkVGT1JFRlNSSElJUjA1Qk5VRXdWRWNLTmdqQmhnRVNCREl3TlRJWW1NNEJJSmllQVNqd3g1QURNS3JKa0FNNFIwQUJXQUZxQ0ZOVVFVNUVRVkpFY2doSFRrRTFRVEJVUndxbkFRbzJDTUdHQVJJRU56WTRNUmlZbmdFZy1Na0JLSTc2a0FNd2pfdVFBemhIUUFCWUFXb0lVMVJCVGtSQlVrUnlDRWRPUVRWQk1GUkhDalVJd1lZQkVnTTJNREVZLU1rQklKak9BU2l2X3BBRE1NRF9rQU00UjBBQldBRnFDRk5VUVU1RVFWSkVjZ2hIVGtFMVFUQlVSd28yQ01HR0FSSUVNVEF6TVJpWXpnRWdvN0VCS051QWtRTXdvNEtSQXpoSFFBRllBV29JVTFSQlRrUkJVa1J5Q0VkT1FUVkJNRlJIRWdvSUFSQUJHQUVxQWtGREdBZ2lCQWdCRUFnb0FpZ0RLQVF3RFERMzMzMzNXukAaEggBEg4KB1BUN0gxME0SA1lZWhoiCAISDgoHUFQ2SDU2TRIDWUhaEg4KB1BUMkgzNU0SA1lZWiIBASoFEgMKATJ6BUNvYWNogAEAEkcKGgoKMjAyNi0wNi0yMxIDREZXGgNZWVQwATgCChoKCjIwMjYtMDYtMjgSA1lZVBoDREZXMAI4ARIHEgVDT0FDSBoCEAggAiABMggI5N-_wQYQAQ%3D%3D&amp;marketingChannel=DIRECT" TargetMode="External"/><Relationship Id="rId3" Type="http://schemas.openxmlformats.org/officeDocument/2006/relationships/hyperlink" Target="https://www.expedia.com/St-Johns-Hotels-Sheraton-Hotel-Newfoundland.h25025.Hotel-Information?chkin=2026-06-23&amp;chkout=2026-06-28&amp;x_pwa=1&amp;rfrr=HSR&amp;pwa_ts=1774487577639&amp;referrerUrl=aHR0cHM6Ly93d3cuZXhwZWRpYS5jb20vSG90ZWwtU2VhcmNo&amp;useRewards=true&amp;rm1=a4&amp;regionId=181832&amp;destination=St.+John%27s%2C+Newfoundland+and+Labrador%2C+Canada&amp;destType=MARKET&amp;neighborhoodId=6355173&amp;selected=25025&amp;latLong=47.560543%2C-52.712833&amp;mpo=EC&amp;sort=RECOMMENDED&amp;top_dp=1437&amp;top_cur=USD&amp;gclid=Cj0KCQjwj47OBhCmARIsAF5wUEEOW8bJNHKiJiI3ZVd-fpQL3AUikb1SXFPjNmlyeqNQhM82an7vqbQaAs18EALw_wcB&amp;mctc=10&amp;userIntent=&amp;selectedRoomType=215122664&amp;selectedRatePlan=389017794&amp;categorySearch=any_option&amp;searchId=0f325553-521c-456f-bfe1-be3875a8fce3&amp;rm2=a4" TargetMode="External"/><Relationship Id="rId4" Type="http://schemas.openxmlformats.org/officeDocument/2006/relationships/hyperlink" Target="https://www.expedia.com/St-Johns-Hotels-Sheraton-Hotel-Newfoundland.h25025.Hotel-Information?chkin=2026-06-23&amp;chkout=2026-06-28&amp;x_pwa=1&amp;rfrr=HSR&amp;pwa_ts=1774487577639&amp;referrerUrl=aHR0cHM6Ly93d3cuZXhwZWRpYS5jb20vSG90ZWwtU2VhcmNo&amp;useRewards=true&amp;rm1=a4&amp;regionId=181832&amp;destination=St.+John%27s%2C+Newfoundland+and+Labrador%2C+Canada&amp;destType=MARKET&amp;neighborhoodId=6355173&amp;selected=25025&amp;latLong=47.560543%2C-52.712833&amp;mpo=EC&amp;sort=RECOMMENDED&amp;top_dp=1437&amp;top_cur=USD&amp;gclid=Cj0KCQjwj47OBhCmARIsAF5wUEEOW8bJNHKiJiI3ZVd-fpQL3AUikb1SXFPjNmlyeqNQhM82an7vqbQaAs18EALw_wcB&amp;mctc=10&amp;userIntent=&amp;selectedRoomType=215122664&amp;selectedRatePlan=389017794&amp;categorySearch=any_option&amp;searchId=0f325553-521c-456f-bfe1-be3875a8fce3&amp;rm2=a4" TargetMode="External"/><Relationship Id="rId5" Type="http://schemas.openxmlformats.org/officeDocument/2006/relationships/hyperlink" Target="https://www.theparkingspot.com/reserve" TargetMode="External"/><Relationship Id="rId6" Type="http://schemas.openxmlformats.org/officeDocument/2006/relationships/hyperlink" Target="https://www.customink.com/ndx/?PK=945107&amp;SK=945100&amp;prefer_singles=false" TargetMode="External"/><Relationship Id="rId7" Type="http://schemas.openxmlformats.org/officeDocument/2006/relationships/drawing" Target="../drawings/drawing3.xml"/><Relationship Id="rId8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Beduan-Normally-Closed-Electric-Solenoid/dp/B07N2DZ5FP/ref=sr_1_3?dib=eyJ2IjoiMSJ9.7XesqP_pvELD9wcbWS2AtfQKd9LgkNi_tYTelQ0kyoNUDyTPAzVFvpHNRefVyJ8j1thM-tuJKmcKBuJzeYbumGhscVq4eBpE52vSBvVACw6dyCWWE0V55z3BOowrcRePKDz6hnRwc3iS9f2Pabhn8xQ-jY72bum3V-3hCsMGrKCHGenMGbH1oDFLWkd8gS3JamtI7r_lAKnRE4ZgMO43AAbQfAnriHsUsIz1unB_AVQ.1qbw0id5ToHGmk3Le9mlVNOK8D30iAZKFJN74-CKTRc&amp;dib_tag=se&amp;keywords=Electric%2BSolenoid%2BValve%2B12V%2BDC%2B1%2F8%22%2BNPT%2B2%2BPosition%2B5%2BWay&amp;qid=1745760112&amp;sr=8-3&amp;th=1" TargetMode="External"/><Relationship Id="rId42" Type="http://schemas.openxmlformats.org/officeDocument/2006/relationships/hyperlink" Target="https://www.amazon.com/Joywayus-Fittings-T-Shaped-Fitting-Stainless/dp/B082KRLRM7/ref=sr_1_3?dib=eyJ2IjoiMSJ9.h_a8PvmntT5XCrtdyuzQvCG5RC5R37hz7mXhDGFUCJbsDBddCcYkBWnAqpjvV3p99Pzfvo-rpDfq24ccY_saGNYHdh9pit9acIzOK3IFBxCG-5fMW-3mg_e-XZ8xG27XKeCKg9blfVRLZ0RskaFho6rGQDm8rSLxY9gEI5OwsMXOkZLkJ_vjssnGyY13wm-tV_ye0o_aRxAw5N1_JEH7Uv4J6JUK-cC-HufXdsM21X4.IFLye8tHHXUzlxT5b7cgMs9AXS30N75BieVt7fx47Lo&amp;dib_tag=se&amp;keywords=Tee%2Bfitting&amp;qid=1745760418&amp;sr=8-3&amp;th=1" TargetMode="External"/><Relationship Id="rId41" Type="http://schemas.openxmlformats.org/officeDocument/2006/relationships/hyperlink" Target="https://www.amazon.com/Degree-Barstock-Fitting-CX-WONDERLAND/dp/B0BCZFCFQ7/ref=sr_1_1_sspa?crid=29A3S6AJTYAQ0&amp;dib=eyJ2IjoiMSJ9.hq4Wrqk5kgBlvbH_AmJGzAvWDT3TyEzKe50fOAKhYVBZNE0ZFxFgYptrXb5CSjJ5KHrCbNynvohWl3PnZTUsF39uq8RKyJZRXYUcM8bTrsFcFpHGcuTUJOIqNXz0xq2os0dnpfk8n3MjOX2SLzdQ0uQNSC15PcIz6HOthSkPprkTT03t7eTYMPXZYVG-ZoPlvtyzZuUBIG-_j4mTQEE_ck6NCN6QqFoP1dPVBh_ccoA.kRF1BbDXTebsFcF-vd8rIUnJ_k7r4nZ2-25ViX51sD4&amp;dib_tag=se&amp;keywords=Elbow%2Bfitting%2B(90%C2%B0)&amp;qid=1745760431&amp;sprefix=elbow%2Bfitting%2B90%2B%2Caps%2C137&amp;sr=8-1-spons&amp;sp_csd=d2lkZ2V0TmFtZT1zcF9hdGY&amp;th=1" TargetMode="External"/><Relationship Id="rId44" Type="http://schemas.openxmlformats.org/officeDocument/2006/relationships/hyperlink" Target="https://www.amazon.com/Transparent-Desiccant-Packets-Moisture-Electronics/dp/B09DSDX4P3/ref=asc_df_B09DSDX4P3?mcid=3a63a71455ae37ee89ed2da22e0d3c8f&amp;hvocijid=16610225785637582540-B09DSDX4P3-&amp;hvexpln=73&amp;tag=hyprod-20&amp;linkCode=df0&amp;hvadid=721245378154&amp;hvpos=&amp;hvnetw=g&amp;hvrand=16610225785637582540&amp;hvpone=&amp;hvptwo=&amp;hvqmt=&amp;hvdev=c&amp;hvdvcmdl=&amp;hvlocint=&amp;hvlocphy=9027902&amp;hvtargid=pla-2281435179818&amp;th=1" TargetMode="External"/><Relationship Id="rId43" Type="http://schemas.openxmlformats.org/officeDocument/2006/relationships/hyperlink" Target="https://www.amazon.com/PneumaticPlus-PUC-1-Connect-Fitting-Straight/dp/B01N8P0NV4/ref=sr_1_2_sspa?dib=eyJ2IjoiMSJ9.d0Bcpaq7MWESoUs9z2DA0UyQzfOZw1EDYaU8vnmw6PK6a8sJ1cIPAoI7XAfE4vl1aQhDPoYzbMNmEa2TErYSab4aR4jXr7UDy0M0SKr5Jx4IdoiQ-CJ16ot3T-c1OwvnDjFLstFDAf3iRNpVN7xKXYSQXrXucJBbCkjiS1VbuuRaOF0WEqF8b7knctBpusbB.KTb4nlN89aosyM7AZ0sAtf20VPHMh8I3sIbG3vdhiTI&amp;dib_tag=se&amp;keywords=Straight%2Bconnector%2Fcoupler&amp;qid=1745760594&amp;sr=8-2-spons&amp;sp_csd=d2lkZ2V0TmFtZT1zcF9hdGY&amp;th=1" TargetMode="External"/><Relationship Id="rId46" Type="http://schemas.openxmlformats.org/officeDocument/2006/relationships/hyperlink" Target="https://www.amazon.com/Adapter-Converter-Monopod-Ballhead-Frgyee/dp/B0956Z9MX5/ref=sxin_16_pa_sp_search_thematic_sspa?content-id=amzn1.sym.b747a510-73a1-4cf4-a45b-74fc1ab8af95%3Aamzn1.sym.b747a510-73a1-4cf4-a45b-74fc1ab8af95&amp;cv_ct_cx=Camera%2Bmounts&amp;keywords=Camera%2Bmounts&amp;pd_rd_i=B0956Z9MX5&amp;pd_rd_r=6a292889-e1f6-456d-a320-9d86660ef04f&amp;pd_rd_w=L4BUf&amp;pd_rd_wg=gErXt&amp;pf_rd_p=b747a510-73a1-4cf4-a45b-74fc1ab8af95&amp;pf_rd_r=7VN0JP7XMMG90MPW5QNF&amp;qid=1745761444&amp;sbo=RZvfv%2F%2FHxDF%2BO5021pAnSA%3D%3D&amp;sr=1-1-6024b2a3-78e4-4fed-8fed-e1613be3bcce-spons&amp;sp_csd=d2lkZ2V0TmFtZT1zcF9zZWFyY2hfdGhlbWF0aWM&amp;th=1" TargetMode="External"/><Relationship Id="rId45" Type="http://schemas.openxmlformats.org/officeDocument/2006/relationships/hyperlink" Target="https://www.amazon.com/Elecoman-Liquid-Tight-Connector-Electrical-90-Degree/dp/B0CGR33PJF/ref=sr_1_1_sspa?crid=1UJQ1T884TYJS&amp;dib=eyJ2IjoiMSJ9.TGR6E1yyruN5XbvtI40590qddAE4WRJ2exHPcFoXvkTqrwpKjvxhT84a4nRQ0t_efM_4LIs9HW9rlhn7DPZylJH97JehFFmHuLS7qwrSfcnoUshJd1H70N5d-tgWPjFY-xULkExwvihjleBx8LslOlu14hfwm3O9DjLaR21XlZ-rEHn4mMHLEaegGvScJ9p9pzeA9MKTv-nTwqx1-ImSpWgxCD2arC3dEPtCNLgkNvZ1KFnWbTVKGNUzFVMbW_MPNv8vPXkVZsANzfROa3fEVuCp9l2kmWPfvOju2g_VfGA.XCTjr-KgtXVnsudJ-Wkzcj8cPx_d7IaMTzIX9kWkNWY&amp;dib_tag=se&amp;keywords=Flexible%2Bconduit&amp;qid=1745761139&amp;s=industrial&amp;sprefix=flexible%2Bconduit%2B%2Cindustrial%2C167&amp;sr=1-1-spons&amp;sp_csd=d2lkZ2V0TmFtZT1zcF9hdGY&amp;th=1" TargetMode="External"/><Relationship Id="rId1" Type="http://schemas.openxmlformats.org/officeDocument/2006/relationships/hyperlink" Target="https://downloads.cree-led.com/files/ds/x/XLamp-MKR.pdf" TargetMode="External"/><Relationship Id="rId2" Type="http://schemas.openxmlformats.org/officeDocument/2006/relationships/hyperlink" Target="https://www.digikey.com/en/products/detail/cree-led/MKRAWT-00-0000-0D00J2051/21841944" TargetMode="External"/><Relationship Id="rId3" Type="http://schemas.openxmlformats.org/officeDocument/2006/relationships/hyperlink" Target="http://tinkersphere.com/boards/1443-ardx-arduino-kit-nyc.html?srsltid=AfmBOop4V8SDk537LVijiZ3Lr31s4gKDQ2mQg0XKaAxF_Y3Kxkngl4Vbf5k&amp;gQT=3" TargetMode="External"/><Relationship Id="rId4" Type="http://schemas.openxmlformats.org/officeDocument/2006/relationships/hyperlink" Target="https://www.homedepot.com/p/Southwire-250-ft-14-2-Romex-SIMpull-Solid-NM-B-W-G-Wire-28827469/202019377?source=shoppingads&amp;locale=en-US&amp;gStoreCode=6559&amp;gQT=1" TargetMode="External"/><Relationship Id="rId9" Type="http://schemas.openxmlformats.org/officeDocument/2006/relationships/hyperlink" Target="https://www.waveshare.com/ov2710-2mp-usb-camera-a.htm" TargetMode="External"/><Relationship Id="rId48" Type="http://schemas.openxmlformats.org/officeDocument/2006/relationships/hyperlink" Target="https://www.ebay.com/itm/124159993906" TargetMode="External"/><Relationship Id="rId47" Type="http://schemas.openxmlformats.org/officeDocument/2006/relationships/hyperlink" Target="https://www.amazon.com/LUGEI%E3%80%90%F0%9D%9F%B0%F0%9D%9F%B2%F0%9D%97%A3%F0%9D%97%96%F0%9D%97%A6%E3%80%91%E3%80%905-Organizer-Organization-Accessories-WorkBench/dp/B0C88PJDYH/ref=sr_1_8?dib=eyJ2IjoiMSJ9.UAiVoS9pyXgxHMJktdEWJH1YSgXVo5AfbLuQaTJ_nKpJ0Fo4yUu-rTOe0fPdvsNA5OGVQ5LFwWdA0BXWatfs7kKp1c58VYbGp9RXDAt1yXxweHeesDkTfHtVHFfzize0QjQZ_D-Kg4e0A8FhCf16cH4ruMpTX32RpnE6nK06DcIONzAx9qVE7_SPsZYDh-mkXBr-CPcUvGsNq8nsisrrw9pmPdfIFHO097BktKNpH-LIgs94ReVUfNPlWLrjSCAYzSsIOAHJ9gWK5I6NLMhwNaRVA0bvsn4WHN1HjSYoYcw.AWNmvQ7Cjp5LuvH1ASEEFstueO7FBTr7olAhPTtQ-x4&amp;dib_tag=se&amp;keywords=Toolbox%2Borganizer%2Bcase&amp;qid=1745761601&amp;sr=8-8&amp;th=1" TargetMode="External"/><Relationship Id="rId49" Type="http://schemas.openxmlformats.org/officeDocument/2006/relationships/hyperlink" Target="https://www.amazon.com/Converter-Voltage-Regulator-Supply-Waterproof/dp/B0DQKFZ2BF/ref=sr_1_1_sspa?dib=eyJ2IjoiMSJ9.TyIM3Km8Y9DEAnGxwlpyRRU7wjHX09X2bDB5pap7LMG7K30Od93N1rm-exZZkY2a9SBg6xumLyE6On-Y5x_pCQSDwo42_X7uQapIQkQJlbC4nS2PCNYOn9ctt9c8sMlgyECLnnPwOalRi-tRJssfxjvErqYzUbbQkRdLUl0rEgPUnupwegOEz6QAnsEJ0qfjHW2WILRs4OMXfT7_ECuHm7avLneQ0KL2kOA-NPqtEXU.55SWuRMdYf2xUbJZLSGaYji-m2PllLe3elqYDmmWa4Y&amp;dib_tag=se&amp;keywords=12V%2Bto%2B5V%2Bbuck%2Bconverter&amp;qid=1745762440&amp;sr=8-1-spons&amp;sp_csd=d2lkZ2V0TmFtZT1zcF9hdGY&amp;th=1" TargetMode="External"/><Relationship Id="rId5" Type="http://schemas.openxmlformats.org/officeDocument/2006/relationships/hyperlink" Target="https://www.adafruit.com/product/2472?" TargetMode="External"/><Relationship Id="rId6" Type="http://schemas.openxmlformats.org/officeDocument/2006/relationships/hyperlink" Target="https://store.ncd.io/product/ms5803-07ba-high-resolution-24-bit-altimeter-and-temperature-sensor-%c2%b1-8c-i2c-mini-module/" TargetMode="External"/><Relationship Id="rId7" Type="http://schemas.openxmlformats.org/officeDocument/2006/relationships/hyperlink" Target="https://bluerobotics.com/store/sensors-cameras/leak-sensor/sos-leak-sensor/" TargetMode="External"/><Relationship Id="rId8" Type="http://schemas.openxmlformats.org/officeDocument/2006/relationships/hyperlink" Target="https://www.amazon.com/Filament-Printer-Printing-Materials-CC3D/dp/B09B4XFJQ9" TargetMode="External"/><Relationship Id="rId31" Type="http://schemas.openxmlformats.org/officeDocument/2006/relationships/hyperlink" Target="https://www.amazon.com/Baomain-Pneumatic-Cylinder-SC-63-700/dp/B07ZS7NY3N?utm_source=chatgpt.com" TargetMode="External"/><Relationship Id="rId30" Type="http://schemas.openxmlformats.org/officeDocument/2006/relationships/hyperlink" Target="https://www.amazon.com/BLCH-PNEUMATIC-Solenoid-Pilot-Operated-Connection/dp/B0DHPL43L7/ref=sr_1_1_sspa?dib=eyJ2IjoiMSJ9.txHgkzwciJCy9u4dRJT4AOGqDUNVAo35cqZKth6uDPTTQ4SjrHB4316q3KIFUfeeiTGWEi6pFr9Znodq6GIUr44t3rVpaJAw-D8s-UST2Wt5pQHuuzM51UoIOR7kCVGzlGxtN_biUaBaCHcPEQcgTOdyr1Xro7E7TsyHhI3XyssSeSVFlH2UbfUuwRMtTYmf8XqUksOSLXwah2m_R4CgMk0RXpq3CTCkLpv5cEEQatE.9SoThm0K7EmEzR25peoMYFBt8ZmNnvGuWaAjhdvW3hQ&amp;dib_tag=se&amp;keywords=Pneumatic%2BValves&amp;qid=1745729516&amp;sr=8-1-spons&amp;sp_csd=d2lkZ2V0TmFtZT1zcF9hdGY&amp;th=1" TargetMode="External"/><Relationship Id="rId33" Type="http://schemas.openxmlformats.org/officeDocument/2006/relationships/hyperlink" Target="https://bluerobotics.com/learn/power-sense-module-psm-installation/" TargetMode="External"/><Relationship Id="rId32" Type="http://schemas.openxmlformats.org/officeDocument/2006/relationships/hyperlink" Target="https://bluerobotics.com/store/watertight-enclosures/enclosure-tools-supplies/prv-m10-asm/" TargetMode="External"/><Relationship Id="rId35" Type="http://schemas.openxmlformats.org/officeDocument/2006/relationships/hyperlink" Target="https://www.amazon.com/Kuject-Connectors-Waterproof-Electrical-Automotive/dp/B073RMRCC3/ref=sr_1_3?dib=eyJ2IjoiMSJ9.BWUBEMGPEW1_1hzOVmlYqgGiOyEGL1jrdJCpmgLYW7QZbUqp0SLw0XJuUBamnYq5aLjENdx_ksOhIyvB27Y4wpVwnCtUTa3hh8FobhvnSfYjf59wHNF37B5zf7TngoFDGP2m1sX3Z3z978pau_z1JwdbWfATV2vpHFzERdP9UXT5t7uF73zul-ZlcbGezJ0AP7wYrl1ZAM9J0Uv-rXKn2AGYg0aMuLvFK6vySp9Wcug.Hj7fSNmhitg1CwaUZz_kjpYLVGjPbct_MwNr4juu1BA&amp;dib_tag=se&amp;keywords=wire%2Bconnectors%2Bwaterproof&amp;qid=1745756631&amp;sr=8-3&amp;th=1" TargetMode="External"/><Relationship Id="rId34" Type="http://schemas.openxmlformats.org/officeDocument/2006/relationships/hyperlink" Target="https://www.amazon.com/Johnson-Pump-Cartridge-Combo-550GPH/dp/B005BTAVD6/ref=sr_1_4?adgrpid=1341405801776282&amp;dib=eyJ2IjoiMSJ9.zfKWRRORTbynShSoqFhd8NEypziE4LcqhOzqKS2xFXQi5rBbcADXyhbi8Jvpqo00A5QFxrskBtP6_cscC_zfQaEDMYWswF3maeHJN_8OEyR9CyL2uwVPBXo8fcIYvj2YBH-ZPDCu7fHNXDmWgglGvScExAoSqluCuC7LSdub57-1KpaPOx_GC3WyltHlqeuZTJzp_7DXyGeUoo_lpB73l4RUruqqOpRxJjLh9idzgKV2NEqBELJ5WlcXFiwwO3RDg6FO9stbv7zUPXzMTAKpQqeW0se2fNdKDNX18bgzCtQ.whY6KAmVmtMxOhbEv5Owmwngja7bTQg_ZyVpv6GQYEE&amp;dib_tag=se&amp;hvadid=83838118111825&amp;hvbmt=bp&amp;hvdev=c&amp;hvlocphy=65831&amp;hvnetw=o&amp;hvqmt=p&amp;hvtargid=kwd-83838856934411%3Aloc-190&amp;hydadcr=9462_13531221&amp;keywords=500+gph+johnson+pump&amp;mcid=4daf058062b4381e8fc8ec51d424b254&amp;msclkid=bf1008395fbe1fce3a306034e8f2465e&amp;qid=1745729358&amp;sr=8-4" TargetMode="External"/><Relationship Id="rId37" Type="http://schemas.openxmlformats.org/officeDocument/2006/relationships/hyperlink" Target="https://www.amazon.com/SNS-AR2000-N02-Pressure-Regulator-Adjustable/dp/B0895G3FZ3/ref=sr_1_2_sspa?crid=3L18RQLG73EVE&amp;dib=eyJ2IjoiMSJ9.CkE1mQbOtIUrCXsvovRjdtUMX1ZbwnjP25aqreeXnggUvEsKdzSMcgUL0FtqgVlz1l-NwTT3v_h_Q5mML1Rr_lPHDq4m4mrxhPH9jKtj-mQLmQF3wu7ohZs_TUb2QVDTnm2yiUx2ZtFJgUvUuexdp2qKRZZ2GtRzAtXcZrTEqVKVf1zD_slQ_i-hQUcfLZpA1JIwYdagtjdwWnxASU8HRQuvlK-DoqzFWSQv0g5pnJtUeaPqyHrRLdBWLuJIFGbpUa3b2OU0JDE7kdPrtS-R2Ac-kRUg9o4XquSz5p7skao.63pJQP-CtMGH6dvT6HKEDMmQOTnBdSELg47Vrba9YIs&amp;dib_tag=se&amp;keywords=Pressure%2BRegulator&amp;qid=1745759542&amp;sprefix=pressure%2Bregulator%2B%2Caps%2C196&amp;sr=8-2-spons&amp;sp_csd=d2lkZ2V0TmFtZT1zcF9hdGY&amp;th=1" TargetMode="External"/><Relationship Id="rId36" Type="http://schemas.openxmlformats.org/officeDocument/2006/relationships/hyperlink" Target="https://www.amazon.com/PneumaticPlus-4-Inch-Tubing-100Foot-Compressor/dp/B00B04UAIC/ref=sr_1_2_sspa?dib=eyJ2IjoiMSJ9.cbdBPcEDWI9Zi1G9dmufpf8B1RoIJXW-4sO1HvjpFhJ80ArkgzC4rVzW2EFYoapshxTkJNCFo8qXRIVC4Mp-B9cm662R_zvcKbPl_eJWd-Z5Bb029c2AEW4bIk3nKC_FOTJpKWsnwUJNa309Mrp4IpD3iJcKEt1eOI9aYNS2ut6o2XrZsBiAQVHk7lDU06y9R_SdZl_Y-m6HGqas1UUvGrJWRbu55KNjj5F4-uzHN4U.GxV5rJ1HR4cc38FIaiCsJ9xJmKT09GbmVwfbHzUd3_Y&amp;dib_tag=se&amp;keywords=Polyurethane%2B(PU)%2BTubing&amp;qid=1745759376&amp;sr=8-2-spons&amp;sp_csd=d2lkZ2V0TmFtZT1zcF9hdGY&amp;th=1" TargetMode="External"/><Relationship Id="rId39" Type="http://schemas.openxmlformats.org/officeDocument/2006/relationships/hyperlink" Target="https://www.amazon.com/Waterproof-Silicone-Lubricant-Plumbers-Sealant/dp/B0BN82TPY4/ref=sr_1_1_sspa?crid=1RNZAVIS0TT2I&amp;dib=eyJ2IjoiMSJ9.I4Rkg_omSfyVHffQyC5OC09iUgBmEy7_T_iWLfst3qhgW2n0ZNEL7gli71P__zQuJuvcgYJZqxeDIZlVcwjUZ0wdTT0xuJO0aR3pG9DXLfZiCvoNYGf_3tj45fxiyRhWiXNP7f6IW-v6zErwIzsYwfpMyBxl5EJN-JJKRcdAn2OZ0qkLB4iBiOZHZG-l5vmDBzx67Ec-00ytKzkfXdMmgdvLBJr-uYooT-B5_tG6r40.2gwmsR15wcgK7XLZgUoTnTz8AISDRW6tLDFHHRMYEjw&amp;dib_tag=se&amp;keywords=silicone+grease+for+o+rings&amp;qid=1745759842&amp;sprefix=Silicone+grease%2Caps%2C202&amp;sr=8-1-spons&amp;sp_csd=d2lkZ2V0TmFtZT1zcF9hdGY&amp;psc=1" TargetMode="External"/><Relationship Id="rId38" Type="http://schemas.openxmlformats.org/officeDocument/2006/relationships/hyperlink" Target="https://www.amazon.com/Premium-Label-Supply-Waterproof-Address/dp/B0DNGCYVPF/ref=sr_1_1_sspa?crid=P4BDUL1V5VM0&amp;dib=eyJ2IjoiMSJ9.XyN1Agt7OF1kZMiJ6exkPO-51mKaV4xa-pDSm1iVWm0xwc7liCo-Q1s3juzoY8Gvz3HNQribmzpcSVUsMmcUh7LmCErdmlR2ROQwrA9M076OwKIOWCxmOl4j-HyfVTg90hITnzjZqiJKYzLqs4sX9EiCeyZow7WPfVNVeZyn-G6z4vmdXe0zskMcN_MoiexCFx-LRZoPLG8MuRtfE3JeGpPhbHkxG0pwxvPsrvs6MwHJysJ-xfnmxZz-I8bhreF99_WmzeE8cAfxHVGe50l0DGZp5gFkYrIfjCXUM0Yc99M.8L7ozYQBNFbjRIeSrL13UkTbdCfIcS93kc0OxHNzvX0&amp;dib_tag=se&amp;keywords=waterproof%2Blabels&amp;qid=1745759981&amp;sprefix=waterproof%2Blabel%2Caps%2C158&amp;sr=8-1-spons&amp;sp_csd=d2lkZ2V0TmFtZT1zcF9hdGY&amp;th=1" TargetMode="External"/><Relationship Id="rId20" Type="http://schemas.openxmlformats.org/officeDocument/2006/relationships/hyperlink" Target="https://www.amazon.com/TotalBoat-Urethane-Density-Flotation-Reinforcement/dp/B01AAWRYZG/ref=sr_1_1_sspa?crid=28GBOLDX54W40&amp;dib=eyJ2IjoiMSJ9.QQ-Bo6KTdOYjZigjFBtR3nhbawJxHwbBLnZress1IgXpZErLQasLLdCqWx1N8P_VQbuGV1MA5LSPiDlUEFVBQCJL2QtlY1Hm_FZoIEvuXehgCemH37iwmrXDFSopWE4MLuzfVmHG0_W2_1dvFId9rqKZcxafAXP1RnOD1oDgo7gTKhssc_HW6EdRcwo_cCezgZ-2jj4aqW1bPkRenrpbNPF7k3gzzdxXI5sZqc78k07iiGNKvIIfQ8t8h9Eqet3PiWugPwtViNdZypD3OoFq5oKMuZVwJLxXUunDiiwnm1Q.KAnHPUIG1TTEpz2mOfePB-_CiSzAtuiEC9Y-fwAdmFU&amp;dib_tag=se&amp;keywords=buoyancy%2Bfoam&amp;qid=1745724608&amp;sprefix=buoyancy%2Bfoam%2Caps%2C160&amp;sr=8-1-spons&amp;sp_csd=d2lkZ2V0TmFtZT1zcF9hdGY&amp;th=1" TargetMode="External"/><Relationship Id="rId22" Type="http://schemas.openxmlformats.org/officeDocument/2006/relationships/hyperlink" Target="https://www.amazon.com/dp/B07VKMTC9J?ref=cm_sw_r_cso_cp_apin_dp_95T033YPAA3EVBQH328D_1&amp;ref_=cm_sw_r_cso_cp_apin_dp_95T033YPAA3EVBQH328D_1&amp;social_share=cm_sw_r_cso_cp_apin_dp_95T033YPAA3EVBQH328D_1&amp;previewDoh=1&amp;th=1" TargetMode="External"/><Relationship Id="rId21" Type="http://schemas.openxmlformats.org/officeDocument/2006/relationships/hyperlink" Target="https://www.amazon.com/Pelican-1120-Case-Foam-Black/dp/B0051QIBUE/ref=asc_df_B0051QIBUE?mcid=b0e3acc88fcf3e8ba43fcfa39289f819&amp;hvocijid=12967247616519889402-B0051QIBUE-&amp;hvexpln=73&amp;tag=hyprod-20&amp;linkCode=df0&amp;hvadid=721245378154&amp;hvpos=&amp;hvnetw=g&amp;hvrand=12967247616519889402&amp;hvpone=&amp;hvptwo=&amp;hvqmt=&amp;hvdev=c&amp;hvdvcmdl=&amp;hvlocint=&amp;hvlocphy=9027902&amp;hvtargid=pla-2281435179018&amp;th=1" TargetMode="External"/><Relationship Id="rId24" Type="http://schemas.openxmlformats.org/officeDocument/2006/relationships/hyperlink" Target="https://bluerobotics.com/store/cables-connectors/penetrators/wlp-vp/" TargetMode="External"/><Relationship Id="rId23" Type="http://schemas.openxmlformats.org/officeDocument/2006/relationships/hyperlink" Target="https://bluerobotics.com/store/cables-connectors/tools/wlp-splice-kit/" TargetMode="External"/><Relationship Id="rId26" Type="http://schemas.openxmlformats.org/officeDocument/2006/relationships/hyperlink" Target="https://www.amazon.com/HS-Durable-Plastic-Bulk-1000-Self-Locking/dp/B07WRY1HM4/ref=sr_1_1_sspa?dib=eyJ2IjoiMSJ9.yZ0eRA1tzbb2B37cITr4PFEQrpSrSR8wjzUCqbHqrPtNYzPuvWN_NTB20TVTQ8NZdXG9POIeo4siAJsC4FKQ1As1QmJjjb5XwFacdxFgzJBVzfqyo3OC9WYl9TtGddKodLbzVvERyH5nW4KDhrg6eoi3RG-S2p-dhcPHXaVb2pYUonpqHo40g10Bcy1eWK2NmdP5U0oDs999XgieSKb1ZdGuK8MybTfV53s2dJqeDCw.Nv0fu0Im-t5-XWePnp3b8qo-e1zYasJ1cif97v8h6NY&amp;dib_tag=se&amp;keywords=zipties&amp;qid=1745727786&amp;sr=8-1-spons&amp;sp_csd=d2lkZ2V0TmFtZT1zcF9hdGY&amp;psc=1" TargetMode="External"/><Relationship Id="rId25" Type="http://schemas.openxmlformats.org/officeDocument/2006/relationships/hyperlink" Target="https://www.amazon.com/Twippo-Waterproof-Automotive-Electrical-Connectors/dp/B0CBJV2WSM?source=ps-sl-shoppingads-lpcontext&amp;ref_=fplfs&amp;smid=AHGXJUM4CYRPV&amp;gPromoCode=7752725675827534477&amp;gQT=1&amp;th=1" TargetMode="External"/><Relationship Id="rId28" Type="http://schemas.openxmlformats.org/officeDocument/2006/relationships/hyperlink" Target="http://amazon.com/MCIGCIM-200pcs-Connectors-Insulated-Terminals/dp/B07Z7LTNR5/ref=sr_1_5?dib=eyJ2IjoiMSJ9.46VFKYtQJHv0qFxiLMj9hGnA5nCILTm1mg24M2dyiPyamg4W6tqOs3mB5goObn0RG7nwL3AdlvBgOrbySRvbDeH6vSz2Q15XplyQNtKSxB2rkuzNFHDeBwN4jLmO1YVOZVnSMJat_mwRMjmwVaSMeSJfipTuCH50PC7fSnYW91WPzyZDb4TZ_OJsPvwmBGhoDm8QuunL7OX_jNhol10VoBaVGePvHVrEykGGpT6QIzo.3smdn1JE97MctukbMEIHixCM2F9XIShyYVxP2n0dLQg&amp;dib_tag=se&amp;keywords=16+awg+spade+connectors&amp;qid=1742494951&amp;sr=8-5" TargetMode="External"/><Relationship Id="rId27" Type="http://schemas.openxmlformats.org/officeDocument/2006/relationships/hyperlink" Target="https://www.amazon.com/Shrink-Tubing-Industrial-Heat-Shrink-Wires/dp/B0BG6V4HV4?source=ps-sl-shoppingads-lpcontext&amp;ref_=fplfs&amp;smid=AAIRS2YRRR941&amp;gQT=1&amp;th=1" TargetMode="External"/><Relationship Id="rId29" Type="http://schemas.openxmlformats.org/officeDocument/2006/relationships/hyperlink" Target="https://www.amazon.com/AstroAI-Compressor-Light%EF%BC%8CAutomotive-Accessories-mattresses/dp/B0C1GL5T7G/ref=sxin_17_pa_sp_search_thematic-asin_sspa?content-id=amzn1.sym.28ebef30-5c08-47b8-ab3b-cb02618e9d16%3Aamzn1.sym.28ebef30-5c08-47b8-ab3b-cb02618e9d16&amp;crid=RBOBWP0IZBT3&amp;cv_ct_cx=air%2Bcompressor%2Bportable&amp;keywords=air%2Bcompressor%2Bportable&amp;pd_rd_i=B0C1GL5T7G&amp;pd_rd_r=f38a5c48-e98b-4f0b-b951-de5143b62eae&amp;pd_rd_w=jnKV8&amp;pd_rd_wg=13OD7&amp;pf_rd_p=28ebef30-5c08-47b8-ab3b-cb02618e9d16&amp;pf_rd_r=MH8DF9E5G4ZXG6CNRHSW&amp;qid=1745728824&amp;sbo=RZvfv%2F%2FHxDF%2BO5021pAnSA%3D%3D&amp;sprefix=air%2Bcom%2Caps%2C150&amp;sr=1-1-baa1f287-65d3-41a3-a655-8bbba0531537-spons&amp;sp_csd=d2lkZ2V0TmFtZT1zcF9zZWFyY2hfdGhlbWF0aWM&amp;th=1" TargetMode="External"/><Relationship Id="rId51" Type="http://schemas.openxmlformats.org/officeDocument/2006/relationships/hyperlink" Target="https://seamate.org/products/hydraulics-kit?variant=32763610300487" TargetMode="External"/><Relationship Id="rId50" Type="http://schemas.openxmlformats.org/officeDocument/2006/relationships/hyperlink" Target="https://www.bluebgi.com/products/p/smart-skipper-battery-mate-bgws-02" TargetMode="External"/><Relationship Id="rId53" Type="http://schemas.openxmlformats.org/officeDocument/2006/relationships/hyperlink" Target="https://seamate.org/products/barracuda-rov-kit-with-thrusters-and-tether?srsltid=AfmBOop2YYBD83ciqiiVSL5Cd0w9_7Qnjma7eRYA6jqoTbxmxpl8D_Ii" TargetMode="External"/><Relationship Id="rId52" Type="http://schemas.openxmlformats.org/officeDocument/2006/relationships/hyperlink" Target="https://seamate.org/products/powerwerx-tricrimp-powerpole-connector?srsltid=AfmBOoomAitthV1RT6Jpwg_jvT9Srh7av96S0dQ73NQU0jpODGLnDeh_" TargetMode="External"/><Relationship Id="rId11" Type="http://schemas.openxmlformats.org/officeDocument/2006/relationships/hyperlink" Target="https://www.amazon.com/Raspberry-Pi-Pico-RP2040-microcontroller/dp/B092S2KCV2?source=ps-sl-shoppingads-lpcontext&amp;ref_=fplfs&amp;psc=1&amp;smid=A02211013Q5HP3OMSZC7W&amp;gQT=1" TargetMode="External"/><Relationship Id="rId55" Type="http://schemas.openxmlformats.org/officeDocument/2006/relationships/hyperlink" Target="https://seamate.org/products/powerwerx-12v-dc-power-supply-w-powerpole-outlet-gfci?srsltid=AfmBOoozFzwTnEvVCPXwgNeSgj9oQ9qyu8EdOfO2xfwrromjI1xTmBL9" TargetMode="External"/><Relationship Id="rId10" Type="http://schemas.openxmlformats.org/officeDocument/2006/relationships/hyperlink" Target="https://www.amazon.com/PlayStation-DualSense%C2%AE-Wireless-Controller-Midnight-5/dp/B0CQKKHT5J/ref=sr_1_3?dib=eyJ2IjoiMSJ9.IAkw8O781NtuHezztbzFd_WTpKJJViJtJJhJMXOFtqzMnxkGDObZWXa7W_po5OnC37AhbDiYrOyIBV1nIbTYUQ8BDw9y2qQ59-kMnDiO2NQRXi4seCobRwJAspN8wVVPZq0UXJPc7hYza5EdyKsp3RsBoU4PLMoTBxAF61hlutZ8VmPolfIT7jZ5gdElVZqJCDalKPKxL0HKQgR03sFdd6erII17jpunFjeQOFmVMK0.i_7E8cakxdLlGCTa4O4pYsKE7Mp2od6SSutKD9X7-hM&amp;dib_tag=se&amp;keywords=ps5+controllers&amp;qid=1745716788&amp;sr=8-3" TargetMode="External"/><Relationship Id="rId54" Type="http://schemas.openxmlformats.org/officeDocument/2006/relationships/hyperlink" Target="https://seamate.org/products/triggerfish-barracuda-video-system-kit?variant=41395478560839" TargetMode="External"/><Relationship Id="rId13" Type="http://schemas.openxmlformats.org/officeDocument/2006/relationships/hyperlink" Target="https://www.walmart.com/ip/Sterilite-Medium-Tote-Plastic-Adult-Blue-Ash/9406368583?wmlspartner=wlpa&amp;selectedSellerId=0&amp;selectedOfferId=1E9F3B2F1DC83872A0833FFA46757152&amp;conditionGroupCode=1&amp;wl13=446&amp;gclsrc=aw.ds&amp;adid=222222222779406368583_117755028669_12420145346&amp;wl0=&amp;wl1=g&amp;wl2=c&amp;wl3=501107745824&amp;wl4=pla-394283752452&amp;wl5=9027902&amp;wl6=&amp;wl7=&amp;wl8=&amp;wl9=pla&amp;wl10=8175035&amp;wl11=local&amp;wl12=9406368583&amp;veh=sem_LIA&amp;gclsrc=aw.ds&amp;gad_source=1&amp;gad_campaignid=12420145346&amp;gbraid=0AAAAADmfBIqUo0WN5X0iCmaqbPD3YWtOo&amp;gclid=Cj0KCQjwiLLABhCEARIsAJYS6umQGwMx1-2unA2CxkwpJXA0w3yDLxZdGMW-PzSyxVpEHG_e1olBce8aAsPPEALw_wcB" TargetMode="External"/><Relationship Id="rId12" Type="http://schemas.openxmlformats.org/officeDocument/2006/relationships/hyperlink" Target="https://www.amazon.com/ARCTIC-MX-4-2019-Performance-Durability/dp/B07L9BDY3T/ref=sr_1_3?dib=eyJ2IjoiMSJ9.XdHojuA2KARt-qJX486zi3ivuy8PNv0ISnOFra1DMTu9ahCKhWCeUSRVezNty3cASotvFP-RJb4hwJeBQolcmFdfIwPyGYrmFB6DNu1C1uFk7uNtSyf0F9yuoWd7s1nP6jcg6CE32YX4gNMTpqCMTuTf61po_Xh8p4czJ0mOJ45UWlmJBfoZB7_Q8E4G5R8dQZJoN7t6wDlYumC6MsU__2My4lvBH28QvJzEpv3414U.y122dKLXO1tCOI6aRUcdzlfrZE9URjllgqNSoyp4lko&amp;dib_tag=se&amp;keywords=thermal+paste&amp;qid=1745718923&amp;sr=8-3" TargetMode="External"/><Relationship Id="rId56" Type="http://schemas.openxmlformats.org/officeDocument/2006/relationships/drawing" Target="../drawings/drawing4.xml"/><Relationship Id="rId15" Type="http://schemas.openxmlformats.org/officeDocument/2006/relationships/hyperlink" Target="https://www.amazon.com/Polycarbonate-Lexan-Sheet-Clear-0-250/dp/B07KCYC7K7?source=ps-sl-shoppingads-lpcontext&amp;ref_=fplfs&amp;psc=1&amp;smid=A3IV1K6AIIMQ19" TargetMode="External"/><Relationship Id="rId14" Type="http://schemas.openxmlformats.org/officeDocument/2006/relationships/hyperlink" Target="https://shapesplastics.com/hdpe-1-4-black-48-x96?srsltid=AfmBOopWFBefjdDpIBo0pmKsJEHCxwb_zsd8r6-51rIg5aPzoFAELTeT" TargetMode="External"/><Relationship Id="rId17" Type="http://schemas.openxmlformats.org/officeDocument/2006/relationships/hyperlink" Target="https://www.amazon.com/XUNCHAO-Manipulator-Pneumatic-Automation-Scissors/dp/B0D7W1Z19F?th=1" TargetMode="External"/><Relationship Id="rId16" Type="http://schemas.openxmlformats.org/officeDocument/2006/relationships/hyperlink" Target="https://bluerobotics.com/store/thrusters/t100-t200-thrusters/t200-thruster-r2-rp/" TargetMode="External"/><Relationship Id="rId19" Type="http://schemas.openxmlformats.org/officeDocument/2006/relationships/hyperlink" Target="https://bluerobotics.com/store/watertight-enclosures/locking-series/spare-o-ring-set/" TargetMode="External"/><Relationship Id="rId18" Type="http://schemas.openxmlformats.org/officeDocument/2006/relationships/hyperlink" Target="https://bluerobotics.com/store/cables-connectors/tools/loctite-marine-epoxy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sspa/click?ie=UTF8&amp;spc=MTo3MDE5MjI5NjE1OTM4NjU6MTc3NjkxNTY1NDpzcF9hdGY6MzAwNzI5OTMxMDgxMDAyOjowOjo&amp;url=%2FKtehloy-Inserts-Printing-Components-M6xL8xD8%2Fdp%2FB0D3VR2GBD%2Fref%3Dsr_1_2_sspa%3Fcrid%3D2TGK5W5V205ON%26dib%3DeyJ2IjoiMSJ9.TqfT9LE2IPSRnffiRuC4EiGDwFU4O193Kmc1J-JB4liZ8cIupwFv8EZFFiJlBL35cPraE-eq4vo8Zg4fTBSX7qrG_G4HMhXV_fs6Fsbf_n0HfPAARVgUprI-Ps-CNDnuqZ-DWRRHQldKzkFBN9vGmJ0i8UKgBZynf1OOj7A98YYfqJHR45ZiXlQigAH-TKsR_DTmWrio0c3d5_s-aFkYk_H2NCKNECAdIgaTo749i_w.Cuh01OwEKDNV39smtdQRwsOAhQ29wmQ2iWNWZNSaMxo%26dib_tag%3Dse%26keywords%3Dm6%2Bheated%2Binserts%26qid%3D1776915654%26sprefix%3D%252Caps%252C101%26sr%3D8-2-spons%26sp_csd%3Dd2lkZ2V0TmFtZT1zcF9hdGY%26psc%3D1" TargetMode="External"/><Relationship Id="rId42" Type="http://schemas.openxmlformats.org/officeDocument/2006/relationships/hyperlink" Target="https://www.amazon.com/Mywish-Socket-Stainless-Furniture-Spanner/dp/B0CX8W4B11/ref=sr_1_4?crid=2TEAWT47U8SRU&amp;dib=eyJ2IjoiMSJ9.JrC1hU_Ox8XswwbcG7_wBgjGxVtJpzp4Cp088A-0ZzxMzio9PTegkHuEwpYWvAzNvgDYEErOvEOAiOhgtG2Anm5ZoapjF86xpGDe9fAFkXyRjxAR7n4XP-KcGamu_wP8AE6AYqR7PLmy_6aTaJPpENproW-F0mmaCXihWiVINYP7DmD3bRhGui30-S9Mk6Jmf3C4sxHGOCgjQy1B_iN23WN1IkKq5nWthQNFnJdzLAM.sRarHGQrgpi7KAkYeIURigKyvAnmcRqB5XM7i5KRDbU&amp;dib_tag=se&amp;keywords=m6+screws+50+mm&amp;qid=1776915722&amp;sprefix=m6+screws+50+mm%2Caps%2C142&amp;sr=8-4" TargetMode="External"/><Relationship Id="rId41" Type="http://schemas.openxmlformats.org/officeDocument/2006/relationships/hyperlink" Target="https://www.amazon.com/sspa/click?ie=UTF8&amp;spc=MTo1MTE0MDI1MTg5MTAyMDA0OjE3NzY5MTU2ODk6c3BfYXRmOjMwMDk2MDU4NjU4MTYwMjo6MDo6&amp;url=%2FFgruh-174PCS-Screws-Nuts-Assortment%2Fdp%2FB0FGV89DVB%2Fref%3Dsr_1_1_sspa%3Fcrid%3DTPE2RAFSOCKS%26dib%3DeyJ2IjoiMSJ9.Tk4t9szvjPt4SOcATiRlDte6h336aK4SZAV6aMzWQX3Z6HJmO-c2TuJPuGwOz0zvTFSCq3Plr70owDlJpQLW_L_dROvBwkfND25DIsqpryHn78__iWPkjXD4a86OYwY-SdOlHd3y4PPVOtL3tEroWUd3p4akHSCmQ_UmfN6-4jNbnybLnfr8Sm9aJQRWCiQHpXOw3xtO-yV9rcOdkZ1j4dbF-ogDO2kM_6qWpFzjYPc.MGUoA5vW50mTcHEUFGKa-JUT8i6szjF1GhmSgzJn4o0%26dib_tag%3Dse%26keywords%3Dm6%2Bscrews%26qid%3D1776915689%26sprefix%3Dm6%2Bscrew%252Caps%252C138%26sr%3D8-1-spons%26sp_csd%3Dd2lkZ2V0TmFtZT1zcF9hdGY%26psc%3D1" TargetMode="External"/><Relationship Id="rId44" Type="http://schemas.openxmlformats.org/officeDocument/2006/relationships/hyperlink" Target="https://www.amazon.com/sspa/click?ie=UTF8&amp;spc=MTo0OTU3MTU0Mjg2MTUwNDMxOjE3NzY5MTU4MTQ6c3BfYXRmOjMwMDcyOTkzMTA4MDUwMjo6MDo6&amp;url=%2FKtehloy-Inserts-Printing-Components-M4xL6xD6%2Fdp%2FB0D3VS3F76%2Fref%3Dsr_1_1_sspa%3Fcrid%3D1VEOJRGSF7SQB%26dib%3DeyJ2IjoiMSJ9.umZ_BL7Z-e8rcgx7P5Sx04il4fv2xu4L3J-FvRS_Wsv7frmM75xaAyd4byJjVbrlqDfddN9SONaninqgqfj-kx5WPd4Brl8vgkQ9uqOluqFdmKECmWOH9pHZkeQu2EQP2K6raN7OZAUrT1CgkjM5KT7e-UVtThgL9CBj1q4VHi0bC-ekuMcvZNhsxOAYb0QmeAmyOZ1esAkCoYUNnuq6Oxvd-WfT5tE7Ga5LgtEgPQE.ZIav_kPU4sa_voll6QDsZQWLNLFLTfjwUqGP_9YB5U8%26dib_tag%3Dse%26keywords%3Dm4%2Bheated%2Binserts%26qid%3D1776915814%26sprefix%3Dm4%2Bheated%2Binserts%252Caps%252C114%26sr%3D8-1-spons%26sp_csd%3Dd2lkZ2V0TmFtZT1zcF9hdGY%26psc%3D1" TargetMode="External"/><Relationship Id="rId43" Type="http://schemas.openxmlformats.org/officeDocument/2006/relationships/hyperlink" Target="https://www.amazon.com/sspa/click?ie=UTF8&amp;spc=MTo4MjE0Mjg1NDQwNjU4NTY0OjE3NzY5MTU3ODU6c3BfYXRmOjIwMDExMjY2ODY5ODU5ODo6MDo6&amp;url=%2Fruthex-M3-Threaded-Inserts-RX-M3x5-7%2Fdp%2FB08BCRZZS3%2Fref%3Dsr_1_1_sspa%3Fcrid%3D23FNWW0WFO3XW%26dib%3DeyJ2IjoiMSJ9.-n8pYt-gwBioGHFqrby9zJ18g6aClFspJJiU7zCgZd4z2BCay_MDXh4nX70ZgaBIS8BbEWM3Rcj0lrdT3ubsJix5rbeTOVPoNMQhhUQl7wVoAo-N4f5q6mgVcvRgX04Q3Uu6sgIA4gzN7urPsEwwaoT7CqFgYup85mx73VwpAAJCg4aGU0UUN9nJjOXc2ZlL48Y6FvFujwU5Vvt171puajPVopu5e6nNNC91qaSqy5A.YfRO5X_S7bUvbdqZR0Y0S6-Wq4XhzqCUybFrqYGKg4E%26dib_tag%3Dse%26keywords%3Dm3%2Bheated%2Binserts%26qid%3D1776915785%26sprefix%3Dm3%2Bheated%2Binsert%252Caps%252C132%26sr%3D8-1-spons%26sp_csd%3Dd2lkZ2V0TmFtZT1zcF9hdGY%26psc%3D1" TargetMode="External"/><Relationship Id="rId46" Type="http://schemas.openxmlformats.org/officeDocument/2006/relationships/hyperlink" Target="https://bluerobotics.com/store/watertight-enclosures/wte-vp/" TargetMode="External"/><Relationship Id="rId45" Type="http://schemas.openxmlformats.org/officeDocument/2006/relationships/hyperlink" Target="https://bluerobotics.com/store/watertight-enclosures/locking-series/wte-locking-tube-r1-vp/" TargetMode="External"/><Relationship Id="rId1" Type="http://schemas.openxmlformats.org/officeDocument/2006/relationships/hyperlink" Target="https://tamu.estore.flywire.com/products/rps-credits-228917" TargetMode="External"/><Relationship Id="rId2" Type="http://schemas.openxmlformats.org/officeDocument/2006/relationships/hyperlink" Target="https://campscui.active.com/orgs/MATEInspirationforInnovation0?e4q=ea819296-cb79-4353-a0ca-03aed1cd3101&amp;e4p=af697b59-9d91-4fb1-99d5-ba9da39d0907&amp;e4ts=1776904574&amp;e4c=active&amp;e4e=snlvcmpscui00001load&amp;e4rt=Safetynet&amp;e4h=b761ca6e016c38d9f222c499aa9bc1ba&amp;newcui=true" TargetMode="External"/><Relationship Id="rId3" Type="http://schemas.openxmlformats.org/officeDocument/2006/relationships/hyperlink" Target="https://www.mouser.com/ProductDetail/MEAN-WELL/RSP-2000-48?qs=Yj0%252BB%2F1k4UdINQcOqBLnoA%3D%3D" TargetMode="External"/><Relationship Id="rId4" Type="http://schemas.openxmlformats.org/officeDocument/2006/relationships/hyperlink" Target="https://www.digikey.com/en/products/detail/littelfuse-inc/0895025.U/F4345-ND/3305707" TargetMode="External"/><Relationship Id="rId9" Type="http://schemas.openxmlformats.org/officeDocument/2006/relationships/hyperlink" Target="https://campscui.active.com/orgs/MATEInspirationforInnovation0?newcui=true" TargetMode="External"/><Relationship Id="rId48" Type="http://schemas.openxmlformats.org/officeDocument/2006/relationships/hyperlink" Target="https://www.amazon.com/Dr-meter-Electronic-Measuring-Batteries-Included/dp/B00ZWNGZFO/ref=sr_1_1_sspa?dib=eyJ2IjoiMSJ9.0_pYXeAAY2lQt5jMOe3iAzBvwsxS1wmLdJDhUA3qj9ZfH4ar70-qMlzCjLC-tvpetW82NjnGdtcKHP9Ds4eJ7UAUr-Xf-E4NYh_5oqxyIZn1rZDpNrWv-JtWP8AeOPus_LYcCsB0ztOp5JEQPEoB-0JNs5PN5EBPsGW-tD9VDGVVaNQdRG05mR69tbEacRjOy29z4G-ZyMeix7nyTDhAuTZFCQpx1q0zcvU_nljlqHk.wSRCY3jaXuu8aGUgPSU2tyYKZzC48mlYO65hep3kIDQ&amp;dib_tag=se&amp;keywords=Digital%2Bhanging%2Bscale&amp;qid=1776958132&amp;sr=8-1-spons&amp;sp_csd=d2lkZ2V0TmFtZT1zcF9hdGY&amp;th=1" TargetMode="External"/><Relationship Id="rId47" Type="http://schemas.openxmlformats.org/officeDocument/2006/relationships/hyperlink" Target="https://www.bing.com/aclk?ld=e8pB_E-aNEvjuY5ONAREO0DTVUCUw3M1M6ifWHTkhUDY0rtofmT8-KZEoRnLxgwp-Rbh3-swfLHZSBK2Asf_he1j9x4uKrM6z9CezkWbvKimLQqTnd5NHNF3EysZOFWeamjbePV49C5r8R-C4mhyiDrPLObvDdxVEnNPtpeKiW9y2rV32gYUIDJtl4a7xNC_e7rki703RcbmhyNF2GBDXa00BmqGc&amp;u=aHR0cHMlM2ElMmYlMmZ3d3cuYW1hem9uLmNvbSUyZlRvdGFsQm9hdC1UaGlja3NldC1IYXJkZW5lci1DYXN0aW5nLUVtYmVkZGluZyUyZmRwJTJmQjA5Q0RWSEJXOSUyZnJlZiUzZGFzY19kZl9CMDlDRFZIQlc5JTNmdGFnJTNkYmluZ3Nob3BwaW5nYS0yMCUyNmxpbmtDb2RlJTNkZGYwJTI2aHZhZGlkJTNkODA0MDE5OTg0MTMyMjclMjZodm5ldHclM2RvJTI2aHZxbXQlM2RlJTI2aHZibXQlM2RiZSUyNmh2ZGV2JTNkYyUyNmh2bG9jaW50JTNkJTI2aHZsb2NwaHklM2Q3NDQxOSUyNmh2dGFyZ2lkJTNkcGxhLTQ1ODQwMDE0NzkzNTk5ODklMjZwc2MlM2QxJTI2bXNjbGtpZCUzZGU5Yjg2NjA3OTcwMjE5MmY2NzY1MGZlZTBiOTcyYTNm&amp;rlid=e9b866079702192f67650fee0b972a3f&amp;ntb=1" TargetMode="External"/><Relationship Id="rId49" Type="http://schemas.openxmlformats.org/officeDocument/2006/relationships/hyperlink" Target="https://www.homedepot.com/p/Charlotte-Pipe-2-in-x-10-ft-White-Schedule-40-PVC-Pipe-Solid-Core-PVC-07200-0600/100348475" TargetMode="External"/><Relationship Id="rId5" Type="http://schemas.openxmlformats.org/officeDocument/2006/relationships/hyperlink" Target="https://www.mouser.com/ProductDetail/Anderson-Power-Products/1466G1?qs=yoCgdRjoRtHmbOact8Y%2Fvw%3D%3D" TargetMode="External"/><Relationship Id="rId6" Type="http://schemas.openxmlformats.org/officeDocument/2006/relationships/hyperlink" Target="https://www.mouser.com/ProductDetail/Anderson-Power-Products/SBS50BLU?qs=yoCgdRjoRtGykuH7NGo2GQ%3D%3D" TargetMode="External"/><Relationship Id="rId7" Type="http://schemas.openxmlformats.org/officeDocument/2006/relationships/hyperlink" Target="https://www.digikey.com/en/products/detail/anderson-power-products-inc/5915-BK/10650335" TargetMode="External"/><Relationship Id="rId8" Type="http://schemas.openxmlformats.org/officeDocument/2006/relationships/hyperlink" Target="https://www.mouser.com/ProductDetail/Anderson-Power-Products/1339G3-BK?qs=yoCgdRjoRtGikdyIiVMeFA%3D%3D" TargetMode="External"/><Relationship Id="rId31" Type="http://schemas.openxmlformats.org/officeDocument/2006/relationships/hyperlink" Target="https://www.homedepot.com/p/Everbilt-8-32-x-1-2-in-Phillips-Slotted-Round-Head-Machine-Screws-100-Pack-27622/100119771" TargetMode="External"/><Relationship Id="rId30" Type="http://schemas.openxmlformats.org/officeDocument/2006/relationships/hyperlink" Target="https://www.amazon.com/gp/product/B000OQ21CA/ref=ppx_yo_dt_b_search_asin_title?ie=UTF8&amp;th=1" TargetMode="External"/><Relationship Id="rId33" Type="http://schemas.openxmlformats.org/officeDocument/2006/relationships/hyperlink" Target="https://www.homedepot.com/p/Everbilt-8-x-3-4-in-Truss-Head-Phillips-Drive-Lath-Self-Drilling-Screw-1-lb-Box-222-Piece-116078/205142789" TargetMode="External"/><Relationship Id="rId32" Type="http://schemas.openxmlformats.org/officeDocument/2006/relationships/hyperlink" Target="https://www.homedepot.com/pep/Everbilt-8-32-Zinc-Plated-Machine-Screw-Nut-12-Pack-826361/317478969?g_store=6559&amp;source=shoppingads&amp;locale=en-US&amp;fp=ggl&amp;pla&amp;mtc=SHOPPING-BF-CDP-GGL-D25H-025_003_FASTENERS-NA-NA-NA-PMAX-NA-NA-NA-NA-NBR-NA-NA-NA-Fasteners&amp;cm_mmc=SHOPPING-BF-CDP-GGL-D25H-025_003_FASTENERS-NA-NA-NA-PMAX-NA-NA-NA-NA-NBR-NA-NA-NA-Fasteners-20427175378--=&amp;vector_id=20427175378&amp;vector_source=GOOGLE&amp;vector_campaign=SHOPPING-BF-CDP-GGL-D25H-025_003_FASTENERS-NA-NA-NA-PMAX-NA-NA-NA-NA-NBR-NA-NA-NA-Fasteners&amp;gclsrc=aw.ds&amp;gad_source=1&amp;gad_campaignid=20278982799&amp;gbraid=0AAAAADq61Ud-YpnopsLcoyCfV_77Hn19w&amp;gclid=CjwKCAjw46HPBhAMEiwASZpLREweqmyxuCN42nLH2Q0jTK8IZrs59wWqagTz7XNqLkiyDHYJeUWGzxoCL4YQAvD_BwE" TargetMode="External"/><Relationship Id="rId35" Type="http://schemas.openxmlformats.org/officeDocument/2006/relationships/hyperlink" Target="https://www.homedepot.com/p/Owens-Corning-FOAMULAR-NGX-1-in-x-2-ft-x-2-ft-R-5-Project-Panel-XPS-Rigid-Foam-Board-Insulation-9WE/315401957" TargetMode="External"/><Relationship Id="rId34" Type="http://schemas.openxmlformats.org/officeDocument/2006/relationships/hyperlink" Target="https://www.amazon.com/uxcell-Flanged-Stainless-Fasteners-Threaded/dp/B098DCQHMV/ref=sr_1_10?crid=25IT49GCDF8R4&amp;keywords=m3%2Bx%2B4mm%2Bscrews&amp;qid=1689105382&amp;sprefix=m3%2Bx%2B4mm%2Bscrews%2Caps%2C292&amp;sr=8-10&amp;th=1" TargetMode="External"/><Relationship Id="rId37" Type="http://schemas.openxmlformats.org/officeDocument/2006/relationships/hyperlink" Target="https://www.amazon.com/Extension-3-Outlet-12-Gauge-Grounded-Listed%EF%BC%8CSafety/dp/B08RBM8VFK/ref=sr_1_12_sspa?crid=3NQNZUU3WV6NR&amp;dib=eyJ2IjoiMSJ9.EKeShNdrAZFcN68qPMwY5n73v97elbK__uH-tAVzrP0JhAR0KLICuvP9WHFKVAw0N_2QkeOpnsDmarfiqASM0q_DmTINku-Hqk5PdPdQNXazMUNZ_y94rWh_JhUCdPRi1Zvh8zio-jbEPNutynGs3oNR5fmZ1OjvdGgK6uVN_uXw6I77ghc2UpoT2i9c26mah8y3desYqMEUdSKoglvIWU_RD_XKv_GSXMQodyT5tNk.bW4hvnb0jkP8YC-yMd6g3_kYiCdtmhIFA6PjCjBTVuk&amp;dib_tag=se&amp;keywords=triple%2Bsocket%2Bcord&amp;qid=1754066037&amp;sprefix=triple%2Bsocket%2Bcord%2Caps%2C162&amp;sr=8-12-spons&amp;sp_csd=d2lkZ2V0TmFtZT1zcF9tdGY&amp;th=1" TargetMode="External"/><Relationship Id="rId36" Type="http://schemas.openxmlformats.org/officeDocument/2006/relationships/hyperlink" Target="https://www.amazon.com/Westspark-Aluminum-Professional-Refrigerator-Insulation/dp/B098XWKR6Q/ref=sr_1_3_sspa?crid=1DC3ZF5KM1SKC&amp;keywords=foil%2Badhesive&amp;qid=1668371900&amp;sprefix=foil%2Badhesiv%2Caps%2C177&amp;sr=8-3-spons&amp;sp_csd=d2lkZ2V0TmFtZT1zcF9hdGY&amp;th=1" TargetMode="External"/><Relationship Id="rId39" Type="http://schemas.openxmlformats.org/officeDocument/2006/relationships/hyperlink" Target="https://bluerobotics.com/store/sensors-cameras/cameras/deepwater-exploration-explorehd-usb-camera/" TargetMode="External"/><Relationship Id="rId38" Type="http://schemas.openxmlformats.org/officeDocument/2006/relationships/hyperlink" Target="https://claude.ai/login" TargetMode="External"/><Relationship Id="rId20" Type="http://schemas.openxmlformats.org/officeDocument/2006/relationships/hyperlink" Target="https://www.homedepot.com/p/Cerrowire-24-ft-16-Gauge-Green-Stranded-Primary-Wire-207-1205R24/202206419" TargetMode="External"/><Relationship Id="rId22" Type="http://schemas.openxmlformats.org/officeDocument/2006/relationships/hyperlink" Target="https://www.amazon.com/Hilitchi-Insulated-Terminals-Electrical-Connectors/dp/B01D8EJOU6/ref=sr_1_3?crid=1SOH10MUQADIZ&amp;keywords=terminal%2Brings%2Byellow%2B5%2F16&amp;qid=1665094845&amp;qu=eyJxc2MiOiIxLjk1IiwicXNhIjoiMC4wMCIsInFzcCI6IjAuMDAifQ%3D%3D&amp;sprefix=terminal%2Brings%2Byellow%2B5%2F16%2Caps%2C166&amp;sr=8-3&amp;th=1" TargetMode="External"/><Relationship Id="rId21" Type="http://schemas.openxmlformats.org/officeDocument/2006/relationships/hyperlink" Target="https://www.amazon.com/25-Foot-12-Electrical-Wire/dp/B07BR3M57J/ref=sr_1_1_sspa?crid=W442LHLD1V0Q&amp;keywords=12%2F3%2Belectrical%2Bwire%2B15%2Bft&amp;qid=1665094577&amp;qu=eyJxc2MiOiIwLjAwIiwicXNhIjoiMC4wMCIsInFzcCI6IjAuMDAifQ%3D%3D&amp;sprefix=12%2F3%2Belectrical%2Bwire%2Caps%2C182&amp;sr=8-1-spons&amp;smid=A3LZLP6ULNJFN7&amp;th=1" TargetMode="External"/><Relationship Id="rId24" Type="http://schemas.openxmlformats.org/officeDocument/2006/relationships/hyperlink" Target="https://www.amazon.com/MorningRo-Aluminum-Thickness-Rectangle-Handcraft/dp/B0D3TH4TTC/ref=sr_1_1?crid=1Y2VQ9ZS1SF9K&amp;dib=eyJ2IjoiMSJ9.P3z67IzyzAT0EgC-riexBkj-raohHzg-9PyciStm_wC9RaIvunRdBn6t5_ZBLjytIIJtB0t06Hit5IaQhMlB8aa6gx7wH1f8-1edJljqj1sRl9w0Wbtzj78Wm7lHXqSI2jePCs3cRoYbDhxTRT_ZjwffLb8b8yRws5DF1UQsRIzFmCJbXzFaVmhcmwl31IgoP2z5iGldoaozJe4M1vzCrUgm2Jm33Q4X8hn_QfTLdZw.Sh-ooPgzaU7TlxZBB7ao-kF2AZoMxp2rIIonTHeI9jw&amp;dib_tag=se&amp;keywords=Metoro%2B1%2F8%2B12%22%2Bx%2B24%22%2B5052%2B.125%2BAluminum%2BSheet%2BMetal%2BPlate&amp;nsdOptOutParam=true&amp;qid=1776906872&amp;sprefix=metoro%2B1%2F8%2B12%2Bx%2B24%2B5052%2B.125%2Baluminum%2Bsheet%2Bmetal%2Bplate%2B%2Caps%2C173&amp;sr=8-1&amp;th=1" TargetMode="External"/><Relationship Id="rId23" Type="http://schemas.openxmlformats.org/officeDocument/2006/relationships/hyperlink" Target="https://www.amazon.com/AIRIC-Connector-Insulated-Disconnects-Connectors/dp/B089Y2Q3K2/ref=sr_1_13?crid=2Q9DA35GJG00G&amp;keywords=AC%2Bfemale%2Bspade%2Bconnectors&amp;qid=1665531776&amp;qu=eyJxc2MiOiIyLjM2IiwicXNhIjoiMC4wMCIsInFzcCI6IjAuMDAifQ%3D%3D&amp;s=industrial&amp;sprefix=ac%2Bfemale%2Bspade%2Bconnectors%2Cindustrial%2C164&amp;sr=1-13&amp;th=1" TargetMode="External"/><Relationship Id="rId60" Type="http://schemas.openxmlformats.org/officeDocument/2006/relationships/drawing" Target="../drawings/drawing5.xml"/><Relationship Id="rId26" Type="http://schemas.openxmlformats.org/officeDocument/2006/relationships/hyperlink" Target="https://www.amazon.com/Yescom-Hydraulic-Battery-Terminal-Crimping/dp/B00KS4R3PI/ref=sr_1_5?crid=35AG98IMB2V7B&amp;keywords=hydraulic%2Bpower%2Bpole%2Bcrimper&amp;qid=1658434359&amp;sprefix=hydraulic%2Bpowerpole%2Bcrimper%2Caps%2C151&amp;sr=8-5&amp;th=1" TargetMode="External"/><Relationship Id="rId25" Type="http://schemas.openxmlformats.org/officeDocument/2006/relationships/hyperlink" Target="https://www.amazon.com/Tynulox-Aluminum-Protective-Treatable-Industry/dp/B0CW9PZVY6/ref=sr_1_3?crid=3O6327DO1F0K6&amp;dib=eyJ2IjoiMSJ9.xFqXiwTICHWR9Pwl-Ox-8nc78YOScpEVZHwXNlX0lcPNw3LrZcJnF_eE9T309SN1O8RcL14RQVWrjdmvLVk_aT_0-Oy0HeXK348_EG0qRhy8ZqkdEcgotOV6NnycBaKKI_ZsmR5WC_BqVbfQboDGrCUN51jPWs-g974hfnNlhKE0pLSSM9hc3rZDcmQqJAQvq7gRq38z_4GepgJKKg6OrBp-16QXG3WJPvyeHjiv3VB8u0AwgN4qdCTXvK7LvnLSSjs1oWQ1ZyvXLA1eYT5B41GDmRUWd6V30owunQQuyXM.FtAKOZkEZ8Z748Ie3t619drTU4f2CD9QuAUg-RfzxTE&amp;dib_tag=se&amp;keywords=6061%2BT651%2BAluminum%2BSheet%2BMetal%2B8%22%2Bx%2B12%22%2Bx%2B1%2F8&amp;nsdOptOutParam=true&amp;qid=1776908610&amp;s=industrial&amp;sprefix=6061%2Bt651%2Baluminum%2Bsheet%2Bmetal%2B8%2Bx%2B12%2Bx%2B1%2F8%2Cindustrial%2C130&amp;sr=1-3&amp;th=1" TargetMode="External"/><Relationship Id="rId28" Type="http://schemas.openxmlformats.org/officeDocument/2006/relationships/hyperlink" Target="https://www.amazon.com/Underwater-bi-Directional-Waterproof-Photography-Exploration/dp/B09BVKB3KD?th=1" TargetMode="External"/><Relationship Id="rId27" Type="http://schemas.openxmlformats.org/officeDocument/2006/relationships/hyperlink" Target="https://www.amazon.com/Underwater-bi-Directional-Waterproof-Photography-Exploration/dp/B09BVKKKTJ?th=1" TargetMode="External"/><Relationship Id="rId29" Type="http://schemas.openxmlformats.org/officeDocument/2006/relationships/hyperlink" Target="https://www.amazon.com/Hilitchi-Professional-Insulated-Connectors-Ratcheting/dp/B01IQIALJC/ref=sxin_15_ac_d_pm?ac_md=2-0-VW5kZXIgJDI1-ac_d_pm_pm_pm&amp;crid=STJWR4CTIPDW&amp;cv_ct_cx=wire+crimping+tool&amp;dchild=1&amp;keywords=wire+crimping+tool&amp;pd_rd_i=B01IQIALJC&amp;pd_rd_r=5e44dbc4-ba2a-4d0a-88d3-3c4d45e1a173&amp;pd_rd_w=ddhog&amp;pd_rd_wg=kY2rP&amp;pf_rd_p=59cd35b3-fd01-41c8-b226-e181f5db7b0f&amp;pf_rd_r=TS0QASQZ08T10MQ6H4ME&amp;psc=1&amp;qid=1629828004&amp;sprefix=wire+cri%2Caps%2C283&amp;sr=1-1-22d05c05-1231-4126-b7c4-3e7a9c0027d0" TargetMode="External"/><Relationship Id="rId51" Type="http://schemas.openxmlformats.org/officeDocument/2006/relationships/hyperlink" Target="https://www.pvcfittingsonline.com/collections/sch-40-pvc-caps/products/447-020-2-schedule-40-pvc-cap" TargetMode="External"/><Relationship Id="rId50" Type="http://schemas.openxmlformats.org/officeDocument/2006/relationships/hyperlink" Target="https://www.homedepot.com/p/Charlotte-Pipe-2-in-PVC-DWV-Wye-Fitting-PVC006001000HD/203396254" TargetMode="External"/><Relationship Id="rId53" Type="http://schemas.openxmlformats.org/officeDocument/2006/relationships/hyperlink" Target="https://www.amazon.com/Qfun-Digital-Caliper/dp/B082XBZJS5/ref=sr_1_1_sspa?crid=3JT8Z23KEKWHB&amp;dib=eyJ2IjoiMSJ9.9ezW-pBOYlEO-kRBlcEeCKVONlAiRMHkYRfXDZHFJRn8b9BUTYpDy-b4UmlQ4EfoNYx0qP_zi7rRlUgXvtNhkQhRya3BYtqZvuY32Iba45Bssr-j0_z6tKzzZgsGe8fCXfVhjcIl7b4FNSd4zCmM9U3pizR8GLXilc4vsKSajfYvOcXejGviT-N_Iw8vp6FRFgj4olTf7FSipCPb4S4ySdZEz824H8kwn2m5Jdu-juc.B7M7vOc3elB-_VYfu7u6b18Y8MgE1KKb4Q6J01OmOr8&amp;dib_tag=se&amp;keywords=calipers&amp;qid=1776958582&amp;sprefix=plumb%2Bbob%2Caps%2C410&amp;sr=8-1-spons&amp;sp_csd=d2lkZ2V0TmFtZT1zcF9hdGY&amp;th=1" TargetMode="External"/><Relationship Id="rId52" Type="http://schemas.openxmlformats.org/officeDocument/2006/relationships/hyperlink" Target="https://www.amazon.com/General-Tools-790-8-Hexagon-Steel/dp/B00004T7TI/ref=sr_1_6?crid=1AM98B8BLUW6&amp;dib=eyJ2IjoiMSJ9.OhYYYeoxn5pZXRAENUsrdsHpgQfr99MN5k_Z6A7Q5CoGY-c2QaHSkDF0hgdTizJtWwniUJXuv_atWumjggrsHZ7AFwi9P6SeceUzRl2b2ywo4zxC3gQAArzZw_c7n2xT9xMJA4VUB8OHY8DSx5uc4V0ih0EZfmrc2JrK8MITAWMm0qkx3-4H0aEbbKTJGE4DA6UImISqkCfUOpQ90xe0Qyol6tLEODnwPsioa5KI-ymt5S_cuscSFTaCHZbawtb1-9_wKxdE9LdbcYUeB-pzj6_ckAkZfqi1vY3XQoAv4us.iDAKhDts2G9DntbOtXygDkllJMI3iE5GyibNivx7iUI&amp;dib_tag=se&amp;keywords=Plumb%2Bbob&amp;qid=1776958506&amp;sprefix=plumb%2Bbob%2B%2Caps%2C221&amp;sr=8-6&amp;th=1" TargetMode="External"/><Relationship Id="rId11" Type="http://schemas.openxmlformats.org/officeDocument/2006/relationships/hyperlink" Target="https://www.mouser.com/ProductDetail/TE-Connectivity-PB/W31-X2M1G-30?qs=oxVsy7N3cw8e2epWSB1bUg%3D%3D" TargetMode="External"/><Relationship Id="rId55" Type="http://schemas.openxmlformats.org/officeDocument/2006/relationships/hyperlink" Target="https://www.amazon.com/Invisible-Balloons-Decorations-Bracelets-Necklaces/dp/B0D3X9RKF2/ref=sr_1_1_sspa?crid=O0MHOVJA7RHT&amp;dib=eyJ2IjoiMSJ9.qMCX5WuR--mD7kI3T2D21hwvoZLrwmmIbeDktuHtxIl7l7sXASEqRCIWCz54eQ7I_adP6HjzcsMuVUtzlQetiEGInHhjV9Jjzk1nUvE8lVZmpYZQuvCNeDlwruQOs2x67Kmlw9WUDAqET2lOo8hWPogg-CcdyZwjgRpuZolQ8ofLK_Fw3vjp-rsHwEFPSndNqMx3OMYBoGmR66fNgcEUZrPRIh_dGSkxmbCN4PgyderNCq47tYiFKKZBvNJMukWw5i2vYuVpHpNV0RVrPMfD6je_HXrATGXddbbLkqAzqtQ.p_agiwWX60XAK9hIBwkUrfcOBro2uDMG8kKCsiIYRZs&amp;dib_tag=se&amp;keywords=fishing%2Bline&amp;qid=1776959122&amp;sprefix=fishing%2Blin%2Caps%2C176&amp;sr=8-1-spons&amp;sp_csd=d2lkZ2V0TmFtZT1zcF9hdGY&amp;th=1" TargetMode="External"/><Relationship Id="rId10" Type="http://schemas.openxmlformats.org/officeDocument/2006/relationships/hyperlink" Target="https://us.rs-online.com/product/mg-chemicals/832fx-450ml/71033671/?keyword=832FX-450ML" TargetMode="External"/><Relationship Id="rId54" Type="http://schemas.openxmlformats.org/officeDocument/2006/relationships/hyperlink" Target="https://www.amazon.com/Painters-Painting-Adhesive-Decoration-Labeling/dp/B0BPS5QB4D/ref=sr_1_2_sspa?crid=10GMLN5PZ6A7Y&amp;dib=eyJ2IjoiMSJ9.KRBS-JXaHeOX_VQ0c6HJv7mSvk4Z-YniNpcrq-Zha5ZaDKZ4BqkpgZtmSzDlH9SS5CwiWbGOyTdDW5sXW4v0fHndP7go5YRSDHYXXGyHHuJMTi1HKVQ5s6MPLT6Hr_x7orkCilD-e5go2S8BcOxNlxBet6pol3d1OrhFb5VbU2zbviZQQXMlNgk3suZpKqU5go_6cTDjWoXKfMnEb9abvn0-uOg6eadUXJN8tIbQwd2FRnYdGgwP18rVo9JNIkbeHSPN3uA17dr9S9h8yfrUlaWIHq4LnyIRDBfW6sMApi8.gI8V5HHTf1L-SPG9zBhX1mSqjGIQgiMQ20tDgoGp82g&amp;dib_tag=se&amp;keywords=masking%2Btape&amp;qid=1776958644&amp;sprefix=masking%2Btape%2Caps%2C162&amp;sr=8-2-spons&amp;sp_csd=d2lkZ2V0TmFtZT1zcF9hdGY&amp;th=1" TargetMode="External"/><Relationship Id="rId13" Type="http://schemas.openxmlformats.org/officeDocument/2006/relationships/hyperlink" Target="https://www.mouser.com/ProductDetail/Bivar/PM3-PRGDW12.0?qs=wFnXgzJ2EGMjih%2Fx44ap6A%3D%3D" TargetMode="External"/><Relationship Id="rId57" Type="http://schemas.openxmlformats.org/officeDocument/2006/relationships/hyperlink" Target="https://www.amazon.com/Armpow-Recoverable-Releasable-Removable-Management/dp/B0CNK7CCPW/ref=sr_1_2_sspa?crid=1T7KUDHKAMAZ1&amp;dib=eyJ2IjoiMSJ9.dueMKJjwPUB8H1lZmGtK1x157-JYD7yXstYl7dENB0d10FHkqlq-HcUlPHT87fCWZ9a1eBwQupzmYcG4_EUYjH8HD6HhJ10_mlzRNpaPbMKP5ApMyAiVJ3-5HqW1Eq35iWmQ6JVmNZju-IPalcPfoRW_8DON-tKTN7QgtZHliPbyRUbHsrFsbeqjq5U5d9hi2HqoTxVhJNRvubQdLZCHKUcOD9IWc6oDl4ePhfaSb2Q.0nsXPRAfSbZwQgFsuZEQfJP3Fx0Ya9mWazy8dyR0ceg&amp;dib_tag=se&amp;keywords=Waterproof%2Bconnectors%2B%2F%2Bzip%2Bties&amp;qid=1776959579&amp;sprefix=waterproof%2Bconnectors%2B%2F%2Bzip%2Bties%2Caps%2C131&amp;sr=8-2-spons&amp;sp_csd=d2lkZ2V0TmFtZT1zcF9hdGY&amp;th=1" TargetMode="External"/><Relationship Id="rId12" Type="http://schemas.openxmlformats.org/officeDocument/2006/relationships/hyperlink" Target="https://www.amazon.com/ARCTIC-MX-4-2019-Performance-Durability/dp/B07L9BDY3T/ref=sr_1_3?dib=eyJ2IjoiMSJ9.XdHojuA2KARt-qJX486zi3ivuy8PNv0ISnOFra1DMTu9ahCKhWCeUSRVezNty3cASotvFP-RJb4hwJeBQolcmFdfIwPyGYrmFB6DNu1C1uFk7uNtSyf0F9yuoWd7s1nP6jcg6CE32YX4gNMTpqCMTuTf61po_Xh8p4czJ0mOJ45UWlmJBfoZB7_Q8E4G5R8dQZJoN7t6wDlYumC6MsU__2My4lvBH28QvJzEpv3414U.y122dKLXO1tCOI6aRUcdzlfrZE9URjllgqNSoyp4lko&amp;dib_tag=se&amp;keywords=thermal+paste&amp;qid=1745718923&amp;sr=8-3" TargetMode="External"/><Relationship Id="rId56" Type="http://schemas.openxmlformats.org/officeDocument/2006/relationships/hyperlink" Target="https://www.amazon.com/HangDone-Picture-Hanging-100-Feet-Supports/dp/B07WK9LR4C/ref=sr_1_2_sspa?crid=2PBE8CCVXYJ4E&amp;dib=eyJ2IjoiMSJ9.m5bU-Q9fKK23w5eBk2Gb1N_PyG3yDSbiSw0zNpgJnljiZQaJA2sjDbEHC3VMoyvgyrxeDYikOfbOWmGp_s9HexbuUmAxysbdTnSdZzbtpBcJAEWjIgHXzXK492BQjI8Xe55aZhIgC3QgIZrelDqI_-hiu4FzOZdfFJI8nRA9VYybTo2r20TzL2EpLdxntK_-rINjvExGfOiZEzDmg4xO6K701dVayEuxFjjBbzfBhZ8.by7hWjeHEpqmb8Wag5qwZX3iCwkQokyFdW5VWQ-Ndps&amp;dib_tag=se&amp;keywords=steel%2Bwire&amp;qid=1776959377&amp;sprefix=steel%2Bwir%2Caps%2C182&amp;sr=8-2-spons&amp;sp_csd=d2lkZ2V0TmFtZT1zcF9hdGY&amp;th=1" TargetMode="External"/><Relationship Id="rId15" Type="http://schemas.openxmlformats.org/officeDocument/2006/relationships/hyperlink" Target="https://www.amazon.com/Shrink-Tubing-Industrial-Heat-Shrink-Wires/dp/B0BG6V4HV4?source=ps-sl-shoppingads-lpcontext&amp;ref_=fplfs&amp;smid=AAIRS2YRRR941&amp;gQT=1&amp;th=1" TargetMode="External"/><Relationship Id="rId59" Type="http://schemas.openxmlformats.org/officeDocument/2006/relationships/hyperlink" Target="https://www.amazon.com/EVERYMATE-Fractional-Barbells-Strength-Training/dp/B09QM3XP11/ref=sr_1_1?crid=SSJ1XNCIWY61&amp;dib=eyJ2IjoiMSJ9.wqwcLi2z1BkvDsE3RrqT2Wknyta42Oc1nu0x9qpmoQLpQ7mq7jd5LeOpt8EDlS_tRoo1mrpoViEZ9BSn-jLUHV6gzjl7w24EVtXvbF7w-4HBRUAz5dXzo0kxbCxKmn1S6ndFk8628DQmgdDmyndEViVczsgL6aUbyaf9plz7_DiLkKmyBIR5m25HecFJ_oxXuymANqwEoFe-y8lejGDJqJaQZLKBiGoJERVPdqbWAHArERtMbvIHUWfhj6SUWWPE-aX9NWTi-W3wWeWgtJoGO8bZqDPGa9PGxRQbpNUSwNU.NnwbzQzhQT_UDzPlOSdEOB_SCjYZnSph4hF0zjB2Xo4&amp;dib_tag=se&amp;keywords=small%2Bincremental%2Bweights&amp;qid=1776960001&amp;sprefix=small%2Bincremental%2Bweight%2Caps%2C142&amp;sr=8-1&amp;th=1" TargetMode="External"/><Relationship Id="rId14" Type="http://schemas.openxmlformats.org/officeDocument/2006/relationships/hyperlink" Target="https://www.mouser.com/ProductDetail/VCC/CNX722C200120W?qs=YCa%2FAAYMW01NRQy%2FGDqaTg%3D%3D" TargetMode="External"/><Relationship Id="rId58" Type="http://schemas.openxmlformats.org/officeDocument/2006/relationships/hyperlink" Target="https://www.amazon.com/Play22-Pool-Noodles-Foam-Pack/dp/B0F1ZL1MRN/ref=sr_1_8?crid=2X6RQ0HT2RP5X&amp;dib=eyJ2IjoiMSJ9.isPVg6_1dWA80obMZjYbi-ZXkyrmq0tYY8k31PTBIAOoczvdKvmE-HNPEPI1IbbuaLqaKN-LLVryxmvMQe1SZU0HauzdxQt0RexPNKAXqzNCXdvFH-t-U1ZW0NSQtyVLXeGoxT9wVIIIVtOgWzUk5omdp2CjOdkw8TvSJldsYHGTw03zitzrehd7QdTabtS0l38689M1Vnb2A0pa15_IRwPkecYABEnGoPE7xiCWaEyqMMuWh8_DhwPSQsXUIzUPZfFgK8JCbgjM-dAcX70SzdA9I_7xJsNW3UqBPhonj1Y.4c4W2oCjfUpmgoVdslNT0IhylhQUMxaDoFVe_W-gKqw&amp;dib_tag=se&amp;keywords=Expanded+polystyrene+pool+noodles&amp;qid=1776959922&amp;sprefix=expanded+polystyrene+pool+noodle%2Caps%2C125&amp;sr=8-8" TargetMode="External"/><Relationship Id="rId17" Type="http://schemas.openxmlformats.org/officeDocument/2006/relationships/hyperlink" Target="https://www.mouser.com/ProductDetail/Schurter/EF11.ABDBL200C0.0010.01-20A?qs=PRB6hLq1s9eW6ZHXBHjjcQ%3D%3D" TargetMode="External"/><Relationship Id="rId16" Type="http://schemas.openxmlformats.org/officeDocument/2006/relationships/hyperlink" Target="https://www.mouser.com/ProductDetail/Qualtek/233080-06?qs=oGPfoFmS6kRj46OZYW70wA%3D%3D" TargetMode="External"/><Relationship Id="rId19" Type="http://schemas.openxmlformats.org/officeDocument/2006/relationships/hyperlink" Target="https://powerwerx.com/red-black-bonded-zip-cord" TargetMode="External"/><Relationship Id="rId18" Type="http://schemas.openxmlformats.org/officeDocument/2006/relationships/hyperlink" Target="https://www.amazon.com/Raspberry-Pi-Active-Cooler/dp/B0CLXZBR5P/ref=sr_1_4?crid=1UD1SMVZ84IUM&amp;dib=eyJ2IjoiMSJ9.XcDQF_A3NgYJZjRkehy45NXY3gmsLFyIOJY8YkAhHjQFXZwSTdqhpa05-OKLrVd-TfkRO7H0wOYpTPpngjxhwbmfZOdwZsb2P9_9ICJ3JHhcBB9d8cjxEJWKn_h1tBuhWnHk0r66MFSCjQZUlPXrRUcVWhx_HKzMMrQsDaVcnXivOJJ8UdaOiW0ezp2uQYzQm_-CRpzs4fQI-KWZ4TWpNBJmS6ucpgfPeHeMh9rl-gbhLlZZ5DG3fboa1azV3wVubF0K44Y6F2lvSJ2mukpQEjW8gH-1a7YStlfC3Aoi2ok.Qix50YbwJWJRcL7MZGiEVoVDniPeSXJjdaSnrcQ0QA8&amp;dib_tag=se&amp;keywords=raspberry+pi+5+active+cooler&amp;qid=1775694133&amp;s=electronics&amp;sprefix=raspberry+pi+5+active+coole%2Celectronics%2C138&amp;sr=1-4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omedepot.com/p/Owens-Corning-FOAMULAR-NGX-1-in-x-2-ft-x-2-ft-R-5-Project-Panel-XPS-Rigid-Foam-Board-Insulation-9WE/315401957" TargetMode="External"/><Relationship Id="rId42" Type="http://schemas.openxmlformats.org/officeDocument/2006/relationships/hyperlink" Target="https://www.amazon.com/sspa/click?ie=UTF8&amp;spc=MTo3MDE5MjI5NjE1OTM4NjU6MTc3NjkxNTY1NDpzcF9hdGY6MzAwNzI5OTMxMDgxMDAyOjowOjo&amp;url=%2FKtehloy-Inserts-Printing-Components-M6xL8xD8%2Fdp%2FB0D3VR2GBD%2Fref%3Dsr_1_2_sspa%3Fcrid%3D2TGK5W5V205ON%26dib%3DeyJ2IjoiMSJ9.TqfT9LE2IPSRnffiRuC4EiGDwFU4O193Kmc1J-JB4liZ8cIupwFv8EZFFiJlBL35cPraE-eq4vo8Zg4fTBSX7qrG_G4HMhXV_fs6Fsbf_n0HfPAARVgUprI-Ps-CNDnuqZ-DWRRHQldKzkFBN9vGmJ0i8UKgBZynf1OOj7A98YYfqJHR45ZiXlQigAH-TKsR_DTmWrio0c3d5_s-aFkYk_H2NCKNECAdIgaTo749i_w.Cuh01OwEKDNV39smtdQRwsOAhQ29wmQ2iWNWZNSaMxo%26dib_tag%3Dse%26keywords%3Dm6%2Bheated%2Binserts%26qid%3D1776915654%26sprefix%3D%252Caps%252C101%26sr%3D8-2-spons%26sp_csd%3Dd2lkZ2V0TmFtZT1zcF9hdGY%26psc%3D1" TargetMode="External"/><Relationship Id="rId41" Type="http://schemas.openxmlformats.org/officeDocument/2006/relationships/hyperlink" Target="https://www.amazon.com/Raspberry-Pi-Active-Cooler/dp/B0CLXZBR5P/ref=sr_1_4?crid=1UD1SMVZ84IUM&amp;dib=eyJ2IjoiMSJ9.XcDQF_A3NgYJZjRkehy45NXY3gmsLFyIOJY8YkAhHjQFXZwSTdqhpa05-OKLrVd-TfkRO7H0wOYpTPpngjxhwbmfZOdwZsb2P9_9ICJ3JHhcBB9d8cjxEJWKn_h1tBuhWnHk0r66MFSCjQZUlPXrRUcVWhx_HKzMMrQsDaVcnXivOJJ8UdaOiW0ezp2uQYzQm_-CRpzs4fQI-KWZ4TWpNBJmS6ucpgfPeHeMh9rl-gbhLlZZ5DG3fboa1azV3wVubF0K44Y6F2lvSJ2mukpQEjW8gH-1a7YStlfC3Aoi2ok.Qix50YbwJWJRcL7MZGiEVoVDniPeSXJjdaSnrcQ0QA8&amp;dib_tag=se&amp;keywords=raspberry+pi+5+active+cooler&amp;qid=1775694133&amp;s=electronics&amp;sprefix=raspberry+pi+5+active+coole%2Celectronics%2C138&amp;sr=1-4" TargetMode="External"/><Relationship Id="rId44" Type="http://schemas.openxmlformats.org/officeDocument/2006/relationships/hyperlink" Target="https://www.amazon.com/sspa/click?ie=UTF8&amp;spc=MTo0OTU3MTU0Mjg2MTUwNDMxOjE3NzY5MTU4MTQ6c3BfYXRmOjMwMDcyOTkzMTA4MDUwMjo6MDo6&amp;url=%2FKtehloy-Inserts-Printing-Components-M4xL6xD6%2Fdp%2FB0D3VS3F76%2Fref%3Dsr_1_1_sspa%3Fcrid%3D1VEOJRGSF7SQB%26dib%3DeyJ2IjoiMSJ9.umZ_BL7Z-e8rcgx7P5Sx04il4fv2xu4L3J-FvRS_Wsv7frmM75xaAyd4byJjVbrlqDfddN9SONaninqgqfj-kx5WPd4Brl8vgkQ9uqOluqFdmKECmWOH9pHZkeQu2EQP2K6raN7OZAUrT1CgkjM5KT7e-UVtThgL9CBj1q4VHi0bC-ekuMcvZNhsxOAYb0QmeAmyOZ1esAkCoYUNnuq6Oxvd-WfT5tE7Ga5LgtEgPQE.ZIav_kPU4sa_voll6QDsZQWLNLFLTfjwUqGP_9YB5U8%26dib_tag%3Dse%26keywords%3Dm4%2Bheated%2Binserts%26qid%3D1776915814%26sprefix%3Dm4%2Bheated%2Binserts%252Caps%252C114%26sr%3D8-1-spons%26sp_csd%3Dd2lkZ2V0TmFtZT1zcF9hdGY%26psc%3D1" TargetMode="External"/><Relationship Id="rId43" Type="http://schemas.openxmlformats.org/officeDocument/2006/relationships/hyperlink" Target="https://www.amazon.com/Mywish-Socket-Stainless-Furniture-Spanner/dp/B0CX8W4B11/ref=sr_1_4?crid=2TEAWT47U8SRU&amp;dib=eyJ2IjoiMSJ9.JrC1hU_Ox8XswwbcG7_wBgjGxVtJpzp4Cp088A-0ZzxMzio9PTegkHuEwpYWvAzNvgDYEErOvEOAiOhgtG2Anm5ZoapjF86xpGDe9fAFkXyRjxAR7n4XP-KcGamu_wP8AE6AYqR7PLmy_6aTaJPpENproW-F0mmaCXihWiVINYP7DmD3bRhGui30-S9Mk6Jmf3C4sxHGOCgjQy1B_iN23WN1IkKq5nWthQNFnJdzLAM.sRarHGQrgpi7KAkYeIURigKyvAnmcRqB5XM7i5KRDbU&amp;dib_tag=se&amp;keywords=m6+screws+50+mm&amp;qid=1776915722&amp;sprefix=m6+screws+50+mm%2Caps%2C142&amp;sr=8-4" TargetMode="External"/><Relationship Id="rId46" Type="http://schemas.openxmlformats.org/officeDocument/2006/relationships/hyperlink" Target="https://www.amazon.com/Westspark-Aluminum-Professional-Refrigerator-Insulation/dp/B098XWKR6Q/ref=sr_1_3_sspa?crid=1DC3ZF5KM1SKC&amp;keywords=foil%2Badhesive&amp;qid=1668371900&amp;sprefix=foil%2Badhesiv%2Caps%2C177&amp;sr=8-3-spons&amp;sp_csd=d2lkZ2V0TmFtZT1zcF9hdGY&amp;th=1" TargetMode="External"/><Relationship Id="rId45" Type="http://schemas.openxmlformats.org/officeDocument/2006/relationships/hyperlink" Target="https://www.homedepot.com/p/Everbilt-8-32-x-1-2-in-Phillips-Slotted-Round-Head-Machine-Screws-100-Pack-27622/100119771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campscui.active.com/orgs/MATEInspirationforInnovation0?e4q=ea819296-cb79-4353-a0ca-03aed1cd3101&amp;e4p=af697b59-9d91-4fb1-99d5-ba9da39d0907&amp;e4ts=1776904574&amp;e4c=active&amp;e4e=snlvcmpscui00001load&amp;e4rt=Safetynet&amp;e4h=b761ca6e016c38d9f222c499aa9bc1ba&amp;newcui=true" TargetMode="External"/><Relationship Id="rId3" Type="http://schemas.openxmlformats.org/officeDocument/2006/relationships/hyperlink" Target="https://www.amazon.com/RSP-2000-48-Switching-Supplies-Output-Enclosed/dp/B07VWSDCXP" TargetMode="External"/><Relationship Id="rId4" Type="http://schemas.openxmlformats.org/officeDocument/2006/relationships/hyperlink" Target="https://bluerobotics.com/store/sensors-cameras/cameras/deepwater-exploration-explorehd-usb-camera/" TargetMode="External"/><Relationship Id="rId9" Type="http://schemas.openxmlformats.org/officeDocument/2006/relationships/hyperlink" Target="https://www.mouser.com/ProductDetail/TE-Connectivity-PB/W31-X2M1G-30?qs=oxVsy7N3cw8e2epWSB1bUg%3D%3D" TargetMode="External"/><Relationship Id="rId48" Type="http://schemas.openxmlformats.org/officeDocument/2006/relationships/hyperlink" Target="https://www.homedepot.com/p/Cerrowire-24-ft-16-Gauge-Green-Stranded-Primary-Wire-207-1205R24/202206419" TargetMode="External"/><Relationship Id="rId47" Type="http://schemas.openxmlformats.org/officeDocument/2006/relationships/hyperlink" Target="https://www.amazon.com/Shrink-Tubing-Industrial-Heat-Shrink-Wires/dp/B0BG6V4HV4?source=ps-sl-shoppingads-lpcontext&amp;ref_=fplfs&amp;smid=AAIRS2YRRR941&amp;gQT=1&amp;th=1" TargetMode="External"/><Relationship Id="rId49" Type="http://schemas.openxmlformats.org/officeDocument/2006/relationships/hyperlink" Target="https://www.homedepot.com/p/Charlotte-Pipe-2-in-PVC-DWV-Wye-Fitting-PVC006001000HD/203396254" TargetMode="External"/><Relationship Id="rId5" Type="http://schemas.openxmlformats.org/officeDocument/2006/relationships/hyperlink" Target="https://tamu.estore.flywire.com/products/rps-credits-228917" TargetMode="External"/><Relationship Id="rId6" Type="http://schemas.openxmlformats.org/officeDocument/2006/relationships/hyperlink" Target="https://www.bing.com/aclk?ld=e8pB_E-aNEvjuY5ONAREO0DTVUCUw3M1M6ifWHTkhUDY0rtofmT8-KZEoRnLxgwp-Rbh3-swfLHZSBK2Asf_he1j9x4uKrM6z9CezkWbvKimLQqTnd5NHNF3EysZOFWeamjbePV49C5r8R-C4mhyiDrPLObvDdxVEnNPtpeKiW9y2rV32gYUIDJtl4a7xNC_e7rki703RcbmhyNF2GBDXa00BmqGc&amp;u=aHR0cHMlM2ElMmYlMmZ3d3cuYW1hem9uLmNvbSUyZlRvdGFsQm9hdC1UaGlja3NldC1IYXJkZW5lci1DYXN0aW5nLUVtYmVkZGluZyUyZmRwJTJmQjA5Q0RWSEJXOSUyZnJlZiUzZGFzY19kZl9CMDlDRFZIQlc5JTNmdGFnJTNkYmluZ3Nob3BwaW5nYS0yMCUyNmxpbmtDb2RlJTNkZGYwJTI2aHZhZGlkJTNkODA0MDE5OTg0MTMyMjclMjZodm5ldHclM2RvJTI2aHZxbXQlM2RlJTI2aHZibXQlM2RiZSUyNmh2ZGV2JTNkYyUyNmh2bG9jaW50JTNkJTI2aHZsb2NwaHklM2Q3NDQxOSUyNmh2dGFyZ2lkJTNkcGxhLTQ1ODQwMDE0NzkzNTk5ODklMjZwc2MlM2QxJTI2bXNjbGtpZCUzZGU5Yjg2NjA3OTcwMjE5MmY2NzY1MGZlZTBiOTcyYTNm&amp;rlid=e9b866079702192f67650fee0b972a3f&amp;ntb=1" TargetMode="External"/><Relationship Id="rId7" Type="http://schemas.openxmlformats.org/officeDocument/2006/relationships/hyperlink" Target="https://us.rs-online.com/product/mg-chemicals/832fx-450ml/71033671/?keyword=832FX-450ML" TargetMode="External"/><Relationship Id="rId8" Type="http://schemas.openxmlformats.org/officeDocument/2006/relationships/hyperlink" Target="https://www.amazon.com/MorningRo-Aluminum-Thickness-Rectangle-Handcraft/dp/B0D3TH4TTC/ref=sr_1_1?crid=1Y2VQ9ZS1SF9K&amp;dib=eyJ2IjoiMSJ9.P3z67IzyzAT0EgC-riexBkj-raohHzg-9PyciStm_wC9RaIvunRdBn6t5_ZBLjytIIJtB0t06Hit5IaQhMlB8aa6gx7wH1f8-1edJljqj1sRl9w0Wbtzj78Wm7lHXqSI2jePCs3cRoYbDhxTRT_ZjwffLb8b8yRws5DF1UQsRIzFmCJbXzFaVmhcmwl31IgoP2z5iGldoaozJe4M1vzCrUgm2Jm33Q4X8hn_QfTLdZw.Sh-ooPgzaU7TlxZBB7ao-kF2AZoMxp2rIIonTHeI9jw&amp;dib_tag=se&amp;keywords=Metoro%2B1%2F8%2B12%22%2Bx%2B24%22%2B5052%2B.125%2BAluminum%2BSheet%2BMetal%2BPlate&amp;nsdOptOutParam=true&amp;qid=1776906872&amp;sprefix=metoro%2B1%2F8%2B12%2Bx%2B24%2B5052%2B.125%2Baluminum%2Bsheet%2Bmetal%2Bplate%2B%2Caps%2C173&amp;sr=8-1&amp;th=1" TargetMode="External"/><Relationship Id="rId31" Type="http://schemas.openxmlformats.org/officeDocument/2006/relationships/hyperlink" Target="https://www.amazon.com/uxcell-Flanged-Stainless-Fasteners-Threaded/dp/B098DCQHMV/ref=sr_1_10?crid=25IT49GCDF8R4&amp;keywords=m3%2Bx%2B4mm%2Bscrews&amp;qid=1689105382&amp;sprefix=m3%2Bx%2B4mm%2Bscrews%2Caps%2C292&amp;sr=8-10&amp;th=1" TargetMode="External"/><Relationship Id="rId30" Type="http://schemas.openxmlformats.org/officeDocument/2006/relationships/hyperlink" Target="https://www.digikey.com/en/products/detail/anderson-power-products-inc/5915-BK/10650335" TargetMode="External"/><Relationship Id="rId33" Type="http://schemas.openxmlformats.org/officeDocument/2006/relationships/hyperlink" Target="https://www.amazon.com/General-Tools-790-8-Hexagon-Steel/dp/B00004T7TI/ref=sr_1_6?crid=1AM98B8BLUW6&amp;dib=eyJ2IjoiMSJ9.OhYYYeoxn5pZXRAENUsrdsHpgQfr99MN5k_Z6A7Q5CoGY-c2QaHSkDF0hgdTizJtWwniUJXuv_atWumjggrsHZ7AFwi9P6SeceUzRl2b2ywo4zxC3gQAArzZw_c7n2xT9xMJA4VUB8OHY8DSx5uc4V0ih0EZfmrc2JrK8MITAWMm0qkx3-4H0aEbbKTJGE4DA6UImISqkCfUOpQ90xe0Qyol6tLEODnwPsioa5KI-ymt5S_cuscSFTaCHZbawtb1-9_wKxdE9LdbcYUeB-pzj6_ckAkZfqi1vY3XQoAv4us.iDAKhDts2G9DntbOtXygDkllJMI3iE5GyibNivx7iUI&amp;dib_tag=se&amp;keywords=Plumb%2Bbob&amp;qid=1776958506&amp;sprefix=plumb%2Bbob%2B%2Caps%2C221&amp;sr=8-6&amp;th=1" TargetMode="External"/><Relationship Id="rId32" Type="http://schemas.openxmlformats.org/officeDocument/2006/relationships/hyperlink" Target="https://www.amazon.com/AIRIC-Connector-Insulated-Disconnects-Connectors/dp/B089Y2Q3K2/ref=sr_1_13?crid=2Q9DA35GJG00G&amp;keywords=AC%2Bfemale%2Bspade%2Bconnectors&amp;qid=1665531776&amp;qu=eyJxc2MiOiIyLjM2IiwicXNhIjoiMC4wMCIsInFzcCI6IjAuMDAifQ%3D%3D&amp;s=industrial&amp;sprefix=ac%2Bfemale%2Bspade%2Bconnectors%2Cindustrial%2C164&amp;sr=1-13&amp;th=1" TargetMode="External"/><Relationship Id="rId35" Type="http://schemas.openxmlformats.org/officeDocument/2006/relationships/hyperlink" Target="https://www.homedepot.com/p/Charlotte-Pipe-2-in-x-10-ft-White-Schedule-40-PVC-Pipe-Solid-Core-PVC-07200-0600/100348475" TargetMode="External"/><Relationship Id="rId34" Type="http://schemas.openxmlformats.org/officeDocument/2006/relationships/hyperlink" Target="https://www.homedepot.com/p/Everbilt-8-x-3-4-in-Truss-Head-Phillips-Drive-Lath-Self-Drilling-Screw-1-lb-Box-222-Piece-116078/205142789" TargetMode="External"/><Relationship Id="rId37" Type="http://schemas.openxmlformats.org/officeDocument/2006/relationships/hyperlink" Target="https://www.mouser.com/ProductDetail/Anderson-Power-Products/1339G3-BK?qs=yoCgdRjoRtGikdyIiVMeFA%3D%3D" TargetMode="External"/><Relationship Id="rId36" Type="http://schemas.openxmlformats.org/officeDocument/2006/relationships/hyperlink" Target="https://www.amazon.com/ARCTIC-MX-4-2019-Performance-Durability/dp/B07L9BDY3T/ref=sr_1_3?dib=eyJ2IjoiMSJ9.XdHojuA2KARt-qJX486zi3ivuy8PNv0ISnOFra1DMTu9ahCKhWCeUSRVezNty3cASotvFP-RJb4hwJeBQolcmFdfIwPyGYrmFB6DNu1C1uFk7uNtSyf0F9yuoWd7s1nP6jcg6CE32YX4gNMTpqCMTuTf61po_Xh8p4czJ0mOJ45UWlmJBfoZB7_Q8E4G5R8dQZJoN7t6wDlYumC6MsU__2My4lvBH28QvJzEpv3414U.y122dKLXO1tCOI6aRUcdzlfrZE9URjllgqNSoyp4lko&amp;dib_tag=se&amp;keywords=thermal+paste&amp;qid=1745718923&amp;sr=8-3" TargetMode="External"/><Relationship Id="rId39" Type="http://schemas.openxmlformats.org/officeDocument/2006/relationships/hyperlink" Target="https://www.amazon.com/sspa/click?ie=UTF8&amp;spc=MTo4MjE0Mjg1NDQwNjU4NTY0OjE3NzY5MTU3ODU6c3BfYXRmOjIwMDExMjY2ODY5ODU5ODo6MDo6&amp;url=%2Fruthex-M3-Threaded-Inserts-RX-M3x5-7%2Fdp%2FB08BCRZZS3%2Fref%3Dsr_1_1_sspa%3Fcrid%3D23FNWW0WFO3XW%26dib%3DeyJ2IjoiMSJ9.-n8pYt-gwBioGHFqrby9zJ18g6aClFspJJiU7zCgZd4z2BCay_MDXh4nX70ZgaBIS8BbEWM3Rcj0lrdT3ubsJix5rbeTOVPoNMQhhUQl7wVoAo-N4f5q6mgVcvRgX04Q3Uu6sgIA4gzN7urPsEwwaoT7CqFgYup85mx73VwpAAJCg4aGU0UUN9nJjOXc2ZlL48Y6FvFujwU5Vvt171puajPVopu5e6nNNC91qaSqy5A.YfRO5X_S7bUvbdqZR0Y0S6-Wq4XhzqCUybFrqYGKg4E%26dib_tag%3Dse%26keywords%3Dm3%2Bheated%2Binserts%26qid%3D1776915785%26sprefix%3Dm3%2Bheated%2Binsert%252Caps%252C132%26sr%3D8-1-spons%26sp_csd%3Dd2lkZ2V0TmFtZT1zcF9hdGY%26psc%3D1" TargetMode="External"/><Relationship Id="rId38" Type="http://schemas.openxmlformats.org/officeDocument/2006/relationships/hyperlink" Target="https://www.amazon.com/sspa/click?ie=UTF8&amp;spc=MTo1MTE0MDI1MTg5MTAyMDA0OjE3NzY5MTU2ODk6c3BfYXRmOjMwMDk2MDU4NjU4MTYwMjo6MDo6&amp;url=%2FFgruh-174PCS-Screws-Nuts-Assortment%2Fdp%2FB0FGV89DVB%2Fref%3Dsr_1_1_sspa%3Fcrid%3DTPE2RAFSOCKS%26dib%3DeyJ2IjoiMSJ9.Tk4t9szvjPt4SOcATiRlDte6h336aK4SZAV6aMzWQX3Z6HJmO-c2TuJPuGwOz0zvTFSCq3Plr70owDlJpQLW_L_dROvBwkfND25DIsqpryHn78__iWPkjXD4a86OYwY-SdOlHd3y4PPVOtL3tEroWUd3p4akHSCmQ_UmfN6-4jNbnybLnfr8Sm9aJQRWCiQHpXOw3xtO-yV9rcOdkZ1j4dbF-ogDO2kM_6qWpFzjYPc.MGUoA5vW50mTcHEUFGKa-JUT8i6szjF1GhmSgzJn4o0%26dib_tag%3Dse%26keywords%3Dm6%2Bscrews%26qid%3D1776915689%26sprefix%3Dm6%2Bscrew%252Caps%252C138%26sr%3D8-1-spons%26sp_csd%3Dd2lkZ2V0TmFtZT1zcF9hdGY%26psc%3D1" TargetMode="External"/><Relationship Id="rId20" Type="http://schemas.openxmlformats.org/officeDocument/2006/relationships/hyperlink" Target="https://www.mouser.com/ProductDetail/Bivar/PM3-PRGDW12.0?qs=wFnXgzJ2EGMjih%2Fx44ap6A%3D%3D" TargetMode="External"/><Relationship Id="rId22" Type="http://schemas.openxmlformats.org/officeDocument/2006/relationships/hyperlink" Target="https://www.amazon.com/Extension-3-Outlet-12-Gauge-Grounded-Listed%EF%BC%8CSafety/dp/B08RBM8VFK/ref=sr_1_12_sspa?crid=3NQNZUU3WV6NR&amp;dib=eyJ2IjoiMSJ9.EKeShNdrAZFcN68qPMwY5n73v97elbK__uH-tAVzrP0JhAR0KLICuvP9WHFKVAw0N_2QkeOpnsDmarfiqASM0q_DmTINku-Hqk5PdPdQNXazMUNZ_y94rWh_JhUCdPRi1Zvh8zio-jbEPNutynGs3oNR5fmZ1OjvdGgK6uVN_uXw6I77ghc2UpoT2i9c26mah8y3desYqMEUdSKoglvIWU_RD_XKv_GSXMQodyT5tNk.bW4hvnb0jkP8YC-yMd6g3_kYiCdtmhIFA6PjCjBTVuk&amp;dib_tag=se&amp;keywords=triple%2Bsocket%2Bcord&amp;qid=1754066037&amp;sprefix=triple%2Bsocket%2Bcord%2Caps%2C162&amp;sr=8-12-spons&amp;sp_csd=d2lkZ2V0TmFtZT1zcF9tdGY&amp;th=1" TargetMode="External"/><Relationship Id="rId21" Type="http://schemas.openxmlformats.org/officeDocument/2006/relationships/hyperlink" Target="https://www.amazon.com/Hilitchi-Professional-Insulated-Connectors-Ratcheting/dp/B01IQIALJC/ref=sxin_15_ac_d_pm?ac_md=2-0-VW5kZXIgJDI1-ac_d_pm_pm_pm&amp;crid=STJWR4CTIPDW&amp;cv_ct_cx=wire+crimping+tool&amp;dchild=1&amp;keywords=wire+crimping+tool&amp;pd_rd_i=B01IQIALJC&amp;pd_rd_r=5e44dbc4-ba2a-4d0a-88d3-3c4d45e1a173&amp;pd_rd_w=ddhog&amp;pd_rd_wg=kY2rP&amp;pf_rd_p=59cd35b3-fd01-41c8-b226-e181f5db7b0f&amp;pf_rd_r=TS0QASQZ08T10MQ6H4ME&amp;psc=1&amp;qid=1629828004&amp;sprefix=wire+cri%2Caps%2C283&amp;sr=1-1-22d05c05-1231-4126-b7c4-3e7a9c0027d0" TargetMode="External"/><Relationship Id="rId24" Type="http://schemas.openxmlformats.org/officeDocument/2006/relationships/hyperlink" Target="https://www.mouser.com/ProductDetail/VCC/CNX722C200120W?qs=YCa%2FAAYMW01NRQy%2FGDqaTg%3D%3D" TargetMode="External"/><Relationship Id="rId23" Type="http://schemas.openxmlformats.org/officeDocument/2006/relationships/hyperlink" Target="https://campscui.active.com/orgs/MATEInspirationforInnovation0?newcui=true" TargetMode="External"/><Relationship Id="rId26" Type="http://schemas.openxmlformats.org/officeDocument/2006/relationships/hyperlink" Target="https://www.amazon.com/HangDone-Picture-Hanging-100-Feet-Supports/dp/B07WK9LR4C/ref=sr_1_2_sspa?crid=2PBE8CCVXYJ4E&amp;dib=eyJ2IjoiMSJ9.m5bU-Q9fKK23w5eBk2Gb1N_PyG3yDSbiSw0zNpgJnljiZQaJA2sjDbEHC3VMoyvgyrxeDYikOfbOWmGp_s9HexbuUmAxysbdTnSdZzbtpBcJAEWjIgHXzXK492BQjI8Xe55aZhIgC3QgIZrelDqI_-hiu4FzOZdfFJI8nRA9VYybTo2r20TzL2EpLdxntK_-rINjvExGfOiZEzDmg4xO6K701dVayEuxFjjBbzfBhZ8.by7hWjeHEpqmb8Wag5qwZX3iCwkQokyFdW5VWQ-Ndps&amp;dib_tag=se&amp;keywords=steel%2Bwire&amp;qid=1776959377&amp;sprefix=steel%2Bwir%2Caps%2C182&amp;sr=8-2-spons&amp;sp_csd=d2lkZ2V0TmFtZT1zcF9hdGY&amp;th=1" TargetMode="External"/><Relationship Id="rId25" Type="http://schemas.openxmlformats.org/officeDocument/2006/relationships/hyperlink" Target="https://www.mouser.com/ProductDetail/Anderson-Power-Products/1466G1?qs=yoCgdRjoRtHmbOact8Y%2Fvw%3D%3D" TargetMode="External"/><Relationship Id="rId28" Type="http://schemas.openxmlformats.org/officeDocument/2006/relationships/hyperlink" Target="https://www.amazon.com/Hilitchi-Insulated-Terminals-Electrical-Connectors/dp/B01D8EJOU6/ref=sr_1_3?crid=1SOH10MUQADIZ&amp;keywords=terminal%2Brings%2Byellow%2B5%2F16&amp;qid=1665094845&amp;qu=eyJxc2MiOiIxLjk1IiwicXNhIjoiMC4wMCIsInFzcCI6IjAuMDAifQ%3D%3D&amp;sprefix=terminal%2Brings%2Byellow%2B5%2F16%2Caps%2C166&amp;sr=8-3&amp;th=1" TargetMode="External"/><Relationship Id="rId27" Type="http://schemas.openxmlformats.org/officeDocument/2006/relationships/hyperlink" Target="https://www.digikey.com/en/products/detail/littelfuse-inc/0895025.U/F4345-ND/3305707" TargetMode="External"/><Relationship Id="rId29" Type="http://schemas.openxmlformats.org/officeDocument/2006/relationships/hyperlink" Target="https://www.mouser.com/ProductDetail/Anderson-Power-Products/SBS50BLU?qs=yoCgdRjoRtGykuH7NGo2GQ%3D%3D" TargetMode="External"/><Relationship Id="rId51" Type="http://schemas.openxmlformats.org/officeDocument/2006/relationships/hyperlink" Target="https://www.pvcfittingsonline.com/collections/sch-40-pvc-caps/products/447-020-2-schedule-40-pvc-cap" TargetMode="External"/><Relationship Id="rId50" Type="http://schemas.openxmlformats.org/officeDocument/2006/relationships/hyperlink" Target="https://www.homedepot.com/pep/Everbilt-8-32-Zinc-Plated-Machine-Screw-Nut-12-Pack-826361/317478969?g_store=6559&amp;source=shoppingads&amp;locale=en-US&amp;fp=ggl&amp;pla&amp;mtc=SHOPPING-BF-CDP-GGL-D25H-025_003_FASTENERS-NA-NA-NA-PMAX-NA-NA-NA-NA-NBR-NA-NA-NA-Fasteners&amp;cm_mmc=SHOPPING-BF-CDP-GGL-D25H-025_003_FASTENERS-NA-NA-NA-PMAX-NA-NA-NA-NA-NBR-NA-NA-NA-Fasteners-20427175378--=&amp;vector_id=20427175378&amp;vector_source=GOOGLE&amp;vector_campaign=SHOPPING-BF-CDP-GGL-D25H-025_003_FASTENERS-NA-NA-NA-PMAX-NA-NA-NA-NA-NBR-NA-NA-NA-Fasteners&amp;gclsrc=aw.ds&amp;gad_source=1&amp;gad_campaignid=20278982799&amp;gbraid=0AAAAADq61Ud-YpnopsLcoyCfV_77Hn19w&amp;gclid=CjwKCAjw46HPBhAMEiwASZpLREweqmyxuCN42nLH2Q0jTK8IZrs59wWqagTz7XNqLkiyDHYJeUWGzxoCL4YQAvD_BwE" TargetMode="External"/><Relationship Id="rId53" Type="http://schemas.openxmlformats.org/officeDocument/2006/relationships/vmlDrawing" Target="../drawings/vmlDrawing3.vml"/><Relationship Id="rId52" Type="http://schemas.openxmlformats.org/officeDocument/2006/relationships/drawing" Target="../drawings/drawing6.xml"/><Relationship Id="rId11" Type="http://schemas.openxmlformats.org/officeDocument/2006/relationships/hyperlink" Target="https://www.mouser.com/ProductDetail/Schurter/EF11.ABDBL200C0.0010.01-20A?qs=PRB6hLq1s9eW6ZHXBHjjcQ%3D%3D" TargetMode="External"/><Relationship Id="rId10" Type="http://schemas.openxmlformats.org/officeDocument/2006/relationships/hyperlink" Target="https://powerwerx.com/red-black-bonded-zip-cord" TargetMode="External"/><Relationship Id="rId13" Type="http://schemas.openxmlformats.org/officeDocument/2006/relationships/hyperlink" Target="https://www.amazon.com/25-Foot-12-Electrical-Wire/dp/B07BR3M57J/ref=sr_1_1_sspa?crid=W442LHLD1V0Q&amp;keywords=12%2F3%2Belectrical%2Bwire%2B15%2Bft&amp;qid=1665094577&amp;qu=eyJxc2MiOiIwLjAwIiwicXNhIjoiMC4wMCIsInFzcCI6IjAuMDAifQ%3D%3D&amp;sprefix=12%2F3%2Belectrical%2Bwire%2Caps%2C182&amp;sr=8-1-spons&amp;smid=A3LZLP6ULNJFN7&amp;th=1" TargetMode="External"/><Relationship Id="rId12" Type="http://schemas.openxmlformats.org/officeDocument/2006/relationships/hyperlink" Target="https://www.amazon.com/Yescom-Hydraulic-Battery-Terminal-Crimping/dp/B00KS4R3PI/ref=sr_1_5?crid=35AG98IMB2V7B&amp;keywords=hydraulic%2Bpower%2Bpole%2Bcrimper&amp;qid=1658434359&amp;sprefix=hydraulic%2Bpowerpole%2Bcrimper%2Caps%2C151&amp;sr=8-5&amp;th=1" TargetMode="External"/><Relationship Id="rId15" Type="http://schemas.openxmlformats.org/officeDocument/2006/relationships/hyperlink" Target="https://www.amazon.com/Armpow-Recoverable-Releasable-Removable-Management/dp/B0CNK7CCPW/ref=sr_1_2_sspa?crid=1T7KUDHKAMAZ1&amp;dib=eyJ2IjoiMSJ9.dueMKJjwPUB8H1lZmGtK1x157-JYD7yXstYl7dENB0d10FHkqlq-HcUlPHT87fCWZ9a1eBwQupzmYcG4_EUYjH8HD6HhJ10_mlzRNpaPbMKP5ApMyAiVJ3-5HqW1Eq35iWmQ6JVmNZju-IPalcPfoRW_8DON-tKTN7QgtZHliPbyRUbHsrFsbeqjq5U5d9hi2HqoTxVhJNRvubQdLZCHKUcOD9IWc6oDl4ePhfaSb2Q.0nsXPRAfSbZwQgFsuZEQfJP3Fx0Ya9mWazy8dyR0ceg&amp;dib_tag=se&amp;keywords=Waterproof%2Bconnectors%2B%2F%2Bzip%2Bties&amp;qid=1776959579&amp;sprefix=waterproof%2Bconnectors%2B%2F%2Bzip%2Bties%2Caps%2C131&amp;sr=8-2-spons&amp;sp_csd=d2lkZ2V0TmFtZT1zcF9hdGY&amp;th=1" TargetMode="External"/><Relationship Id="rId14" Type="http://schemas.openxmlformats.org/officeDocument/2006/relationships/hyperlink" Target="https://www.mouser.com/ProductDetail/Qualtek/233080-06?qs=oGPfoFmS6kRj46OZYW70wA%3D%3D" TargetMode="External"/><Relationship Id="rId17" Type="http://schemas.openxmlformats.org/officeDocument/2006/relationships/hyperlink" Target="https://www.amazon.com/gp/product/B000OQ21CA/ref=ppx_yo_dt_b_search_asin_title?ie=UTF8&amp;th=1" TargetMode="External"/><Relationship Id="rId16" Type="http://schemas.openxmlformats.org/officeDocument/2006/relationships/hyperlink" Target="https://www.amazon.com/EVERYMATE-Fractional-Barbells-Strength-Training/dp/B09QM3XP11/ref=sr_1_1?crid=SSJ1XNCIWY61&amp;dib=eyJ2IjoiMSJ9.wqwcLi2z1BkvDsE3RrqT2Wknyta42Oc1nu0x9qpmoQLpQ7mq7jd5LeOpt8EDlS_tRoo1mrpoViEZ9BSn-jLUHV6gzjl7w24EVtXvbF7w-4HBRUAz5dXzo0kxbCxKmn1S6ndFk8628DQmgdDmyndEViVczsgL6aUbyaf9plz7_DiLkKmyBIR5m25HecFJ_oxXuymANqwEoFe-y8lejGDJqJaQZLKBiGoJERVPdqbWAHArERtMbvIHUWfhj6SUWWPE-aX9NWTi-W3wWeWgtJoGO8bZqDPGa9PGxRQbpNUSwNU.NnwbzQzhQT_UDzPlOSdEOB_SCjYZnSph4hF0zjB2Xo4&amp;dib_tag=se&amp;keywords=small%2Bincremental%2Bweights&amp;qid=1776960001&amp;sprefix=small%2Bincremental%2Bweight%2Caps%2C142&amp;sr=8-1&amp;th=1" TargetMode="External"/><Relationship Id="rId19" Type="http://schemas.openxmlformats.org/officeDocument/2006/relationships/hyperlink" Target="https://www.amazon.com/Qfun-Digital-Caliper/dp/B082XBZJS5/ref=sr_1_1_sspa?crid=3JT8Z23KEKWHB&amp;dib=eyJ2IjoiMSJ9.9ezW-pBOYlEO-kRBlcEeCKVONlAiRMHkYRfXDZHFJRn8b9BUTYpDy-b4UmlQ4EfoNYx0qP_zi7rRlUgXvtNhkQhRya3BYtqZvuY32Iba45Bssr-j0_z6tKzzZgsGe8fCXfVhjcIl7b4FNSd4zCmM9U3pizR8GLXilc4vsKSajfYvOcXejGviT-N_Iw8vp6FRFgj4olTf7FSipCPb4S4ySdZEz824H8kwn2m5Jdu-juc.B7M7vOc3elB-_VYfu7u6b18Y8MgE1KKb4Q6J01OmOr8&amp;dib_tag=se&amp;keywords=calipers&amp;qid=1776958582&amp;sprefix=plumb%2Bbob%2Caps%2C410&amp;sr=8-1-spons&amp;sp_csd=d2lkZ2V0TmFtZT1zcF9hdGY&amp;th=1" TargetMode="External"/><Relationship Id="rId18" Type="http://schemas.openxmlformats.org/officeDocument/2006/relationships/hyperlink" Target="https://www.amazon.com/Play22-Pool-Noodles-Foam-Pack/dp/B0F1ZL1MRN/ref=sr_1_8?crid=2X6RQ0HT2RP5X&amp;dib=eyJ2IjoiMSJ9.isPVg6_1dWA80obMZjYbi-ZXkyrmq0tYY8k31PTBIAOoczvdKvmE-HNPEPI1IbbuaLqaKN-LLVryxmvMQe1SZU0HauzdxQt0RexPNKAXqzNCXdvFH-t-U1ZW0NSQtyVLXeGoxT9wVIIIVtOgWzUk5omdp2CjOdkw8TvSJldsYHGTw03zitzrehd7QdTabtS0l38689M1Vnb2A0pa15_IRwPkecYABEnGoPE7xiCWaEyqMMuWh8_DhwPSQsXUIzUPZfFgK8JCbgjM-dAcX70SzdA9I_7xJsNW3UqBPhonj1Y.4c4W2oCjfUpmgoVdslNT0IhylhQUMxaDoFVe_W-gKqw&amp;dib_tag=se&amp;keywords=Expanded+polystyrene+pool+noodles&amp;qid=1776959922&amp;sprefix=expanded+polystyrene+pool+noodle%2Caps%2C125&amp;sr=8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63"/>
    <col customWidth="1" min="2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75" customHeight="1">
      <c r="A2" s="2" t="s">
        <v>6</v>
      </c>
      <c r="B2" s="2">
        <v>70.0</v>
      </c>
      <c r="C2" s="2" t="s">
        <v>7</v>
      </c>
      <c r="D2" s="2" t="s">
        <v>8</v>
      </c>
      <c r="E2" s="2" t="s">
        <v>9</v>
      </c>
      <c r="F2" s="2" t="s">
        <v>10</v>
      </c>
    </row>
    <row r="3" ht="15.75" customHeight="1">
      <c r="A3" s="2" t="s">
        <v>11</v>
      </c>
      <c r="B3" s="2">
        <v>100.0</v>
      </c>
      <c r="C3" s="2" t="s">
        <v>12</v>
      </c>
      <c r="D3" s="2" t="s">
        <v>13</v>
      </c>
      <c r="E3" s="2" t="s">
        <v>14</v>
      </c>
      <c r="F3" s="2" t="s">
        <v>15</v>
      </c>
    </row>
    <row r="4" ht="15.75" customHeight="1">
      <c r="A4" s="2" t="s">
        <v>16</v>
      </c>
      <c r="B4" s="2">
        <v>4.0</v>
      </c>
      <c r="C4" s="2" t="s">
        <v>17</v>
      </c>
      <c r="E4" s="2" t="s">
        <v>18</v>
      </c>
      <c r="F4" s="2" t="s">
        <v>19</v>
      </c>
    </row>
    <row r="5" ht="15.75" customHeight="1">
      <c r="A5" s="2" t="s">
        <v>20</v>
      </c>
      <c r="B5" s="2">
        <v>5.0</v>
      </c>
      <c r="C5" s="2" t="s">
        <v>21</v>
      </c>
      <c r="E5" s="2" t="s">
        <v>22</v>
      </c>
      <c r="F5" s="2" t="s">
        <v>23</v>
      </c>
    </row>
    <row r="6" ht="15.75" customHeight="1">
      <c r="C6" s="2" t="s">
        <v>24</v>
      </c>
      <c r="E6" s="2" t="s">
        <v>25</v>
      </c>
      <c r="F6" s="2" t="s">
        <v>26</v>
      </c>
    </row>
    <row r="7" ht="15.75" customHeight="1">
      <c r="C7" s="2" t="s">
        <v>27</v>
      </c>
      <c r="E7" s="2" t="s">
        <v>28</v>
      </c>
      <c r="F7" s="2" t="s">
        <v>29</v>
      </c>
    </row>
    <row r="8" ht="15.75" customHeight="1">
      <c r="C8" s="2" t="s">
        <v>30</v>
      </c>
      <c r="E8" s="2" t="s">
        <v>31</v>
      </c>
      <c r="F8" s="2" t="s">
        <v>32</v>
      </c>
    </row>
    <row r="9" ht="15.75" customHeight="1">
      <c r="E9" s="2" t="s">
        <v>33</v>
      </c>
      <c r="F9" s="2" t="s">
        <v>34</v>
      </c>
    </row>
    <row r="10" ht="15.75" customHeight="1">
      <c r="E10" s="2" t="s">
        <v>35</v>
      </c>
      <c r="F10" s="2" t="s">
        <v>36</v>
      </c>
    </row>
    <row r="11" ht="15.75" customHeight="1">
      <c r="E11" s="2" t="s">
        <v>37</v>
      </c>
      <c r="F11" s="2" t="s">
        <v>38</v>
      </c>
    </row>
    <row r="12" ht="15.75" customHeight="1">
      <c r="E12" s="2" t="s">
        <v>39</v>
      </c>
      <c r="F12" s="2" t="s">
        <v>40</v>
      </c>
    </row>
    <row r="13" ht="15.75" customHeight="1">
      <c r="E13" s="2" t="s">
        <v>41</v>
      </c>
      <c r="F13" s="2" t="s">
        <v>42</v>
      </c>
    </row>
    <row r="14" ht="15.75" customHeight="1">
      <c r="E14" s="2" t="s">
        <v>43</v>
      </c>
      <c r="F14" s="2" t="s">
        <v>44</v>
      </c>
    </row>
    <row r="15" ht="15.75" customHeight="1">
      <c r="E15" s="2" t="s">
        <v>45</v>
      </c>
      <c r="F15" s="2" t="s">
        <v>46</v>
      </c>
    </row>
    <row r="16" ht="15.75" customHeight="1">
      <c r="E16" s="2" t="s">
        <v>47</v>
      </c>
      <c r="F16" s="2" t="s">
        <v>48</v>
      </c>
    </row>
    <row r="17" ht="15.75" customHeight="1">
      <c r="E17" s="2" t="s">
        <v>49</v>
      </c>
      <c r="F17" s="2" t="s">
        <v>50</v>
      </c>
    </row>
    <row r="18" ht="15.75" customHeight="1">
      <c r="F18" s="2" t="s">
        <v>51</v>
      </c>
    </row>
    <row r="19" ht="15.75" customHeight="1">
      <c r="F19" s="2" t="s">
        <v>52</v>
      </c>
    </row>
    <row r="20" ht="15.75" customHeight="1">
      <c r="F20" s="2" t="s">
        <v>53</v>
      </c>
    </row>
    <row r="21" ht="15.75" customHeight="1">
      <c r="F21" s="2" t="s">
        <v>54</v>
      </c>
    </row>
    <row r="22" ht="15.75" customHeight="1">
      <c r="F22" s="2" t="s">
        <v>55</v>
      </c>
    </row>
    <row r="23" ht="15.75" customHeight="1">
      <c r="F23" s="2" t="s">
        <v>56</v>
      </c>
    </row>
    <row r="24" ht="15.75" customHeight="1">
      <c r="F24" s="2" t="s">
        <v>57</v>
      </c>
    </row>
    <row r="25" ht="15.75" customHeight="1">
      <c r="F25" s="2" t="s">
        <v>58</v>
      </c>
    </row>
    <row r="26" ht="15.75" customHeight="1">
      <c r="F26" s="2" t="s">
        <v>59</v>
      </c>
    </row>
    <row r="27" ht="15.75" customHeight="1">
      <c r="F27" s="2" t="s">
        <v>60</v>
      </c>
    </row>
    <row r="28" ht="15.75" customHeight="1">
      <c r="F28" s="2" t="s">
        <v>61</v>
      </c>
    </row>
    <row r="29" ht="15.75" customHeight="1">
      <c r="F29" s="2" t="s">
        <v>62</v>
      </c>
    </row>
    <row r="30" ht="15.75" customHeight="1">
      <c r="F30" s="2" t="s">
        <v>63</v>
      </c>
    </row>
    <row r="31" ht="15.75" customHeight="1">
      <c r="F31" s="2" t="s">
        <v>64</v>
      </c>
    </row>
    <row r="32" ht="15.75" customHeight="1">
      <c r="F32" s="2" t="s">
        <v>65</v>
      </c>
    </row>
    <row r="33" ht="15.75" customHeight="1">
      <c r="F33" s="2" t="s">
        <v>66</v>
      </c>
    </row>
    <row r="34" ht="15.75" customHeight="1">
      <c r="F34" s="2" t="s">
        <v>67</v>
      </c>
    </row>
    <row r="35" ht="15.75" customHeight="1">
      <c r="F35" s="2" t="s">
        <v>68</v>
      </c>
    </row>
    <row r="36" ht="15.75" customHeight="1">
      <c r="F36" s="3" t="s">
        <v>69</v>
      </c>
    </row>
    <row r="37" ht="15.75" customHeight="1">
      <c r="F37" s="3" t="s">
        <v>70</v>
      </c>
    </row>
    <row r="38" ht="15.75" customHeight="1">
      <c r="F38" s="3" t="s">
        <v>71</v>
      </c>
    </row>
    <row r="39" ht="15.75" customHeight="1">
      <c r="F39" s="3" t="s">
        <v>72</v>
      </c>
    </row>
    <row r="40" ht="15.75" customHeight="1">
      <c r="F40" s="3" t="s">
        <v>73</v>
      </c>
    </row>
    <row r="41" ht="15.75" customHeight="1">
      <c r="F41" s="3" t="s">
        <v>74</v>
      </c>
    </row>
    <row r="42" ht="15.75" customHeight="1">
      <c r="F42" s="3" t="s">
        <v>75</v>
      </c>
    </row>
    <row r="43" ht="15.75" customHeight="1">
      <c r="F43" s="3" t="s">
        <v>76</v>
      </c>
    </row>
    <row r="44" ht="15.75" customHeight="1">
      <c r="F44" s="3" t="s">
        <v>77</v>
      </c>
    </row>
    <row r="45" ht="15.75" customHeight="1">
      <c r="F45" s="3" t="s">
        <v>78</v>
      </c>
    </row>
    <row r="46" ht="15.75" customHeight="1">
      <c r="F46" s="3" t="s">
        <v>79</v>
      </c>
    </row>
    <row r="47" ht="15.75" customHeight="1">
      <c r="F47" s="3" t="s">
        <v>80</v>
      </c>
    </row>
    <row r="48" ht="15.75" customHeight="1">
      <c r="F48" s="3" t="s">
        <v>81</v>
      </c>
    </row>
    <row r="49" ht="15.75" customHeight="1">
      <c r="F49" s="3" t="s">
        <v>82</v>
      </c>
    </row>
    <row r="50" ht="15.75" customHeight="1">
      <c r="F50" s="3" t="s">
        <v>83</v>
      </c>
    </row>
    <row r="51" ht="15.75" customHeight="1">
      <c r="F51" s="3" t="s">
        <v>84</v>
      </c>
    </row>
    <row r="52" ht="15.75" customHeight="1">
      <c r="F52" s="3" t="s">
        <v>85</v>
      </c>
    </row>
    <row r="53" ht="15.75" customHeight="1">
      <c r="F53" s="3" t="s">
        <v>86</v>
      </c>
    </row>
    <row r="54" ht="15.75" customHeight="1">
      <c r="F54" s="3" t="s">
        <v>87</v>
      </c>
    </row>
    <row r="55" ht="15.75" customHeight="1">
      <c r="F55" s="3" t="s">
        <v>88</v>
      </c>
    </row>
    <row r="56" ht="15.75" customHeight="1">
      <c r="F56" s="3" t="s">
        <v>89</v>
      </c>
    </row>
    <row r="57" ht="15.75" customHeight="1">
      <c r="F57" s="3" t="s">
        <v>90</v>
      </c>
    </row>
    <row r="58" ht="15.75" customHeight="1">
      <c r="F58" s="3" t="s">
        <v>91</v>
      </c>
    </row>
    <row r="59" ht="15.75" customHeight="1">
      <c r="F59" s="3" t="s">
        <v>92</v>
      </c>
    </row>
    <row r="60" ht="15.75" customHeight="1">
      <c r="F60" s="3" t="s">
        <v>93</v>
      </c>
    </row>
    <row r="61" ht="15.75" customHeight="1">
      <c r="F61" s="3" t="s">
        <v>94</v>
      </c>
    </row>
    <row r="62" ht="15.75" customHeight="1">
      <c r="F62" s="3" t="s">
        <v>95</v>
      </c>
    </row>
    <row r="63" ht="15.75" customHeight="1">
      <c r="F63" s="3" t="s">
        <v>96</v>
      </c>
    </row>
    <row r="64" ht="15.75" customHeight="1">
      <c r="F64" s="3" t="s">
        <v>97</v>
      </c>
    </row>
    <row r="65" ht="15.75" customHeight="1">
      <c r="F65" s="3" t="s">
        <v>98</v>
      </c>
    </row>
    <row r="66" ht="15.75" customHeight="1">
      <c r="F66" s="3" t="s">
        <v>99</v>
      </c>
    </row>
    <row r="67" ht="15.75" customHeight="1">
      <c r="F67" s="3" t="s">
        <v>100</v>
      </c>
    </row>
    <row r="68" ht="15.75" customHeight="1">
      <c r="F68" s="3" t="s">
        <v>101</v>
      </c>
    </row>
    <row r="69" ht="15.75" customHeight="1">
      <c r="F69" s="3" t="s">
        <v>102</v>
      </c>
    </row>
    <row r="70" ht="15.75" customHeight="1">
      <c r="F70" s="3" t="s">
        <v>103</v>
      </c>
    </row>
    <row r="71" ht="15.75" customHeight="1">
      <c r="F71" s="3" t="s">
        <v>104</v>
      </c>
    </row>
    <row r="72" ht="15.75" customHeight="1">
      <c r="F72" s="3" t="s">
        <v>105</v>
      </c>
    </row>
    <row r="73" ht="15.75" customHeight="1">
      <c r="F73" s="3" t="s">
        <v>106</v>
      </c>
    </row>
    <row r="74" ht="15.75" customHeight="1">
      <c r="F74" s="3" t="s">
        <v>107</v>
      </c>
    </row>
    <row r="75" ht="15.75" customHeight="1">
      <c r="F75" s="3" t="s">
        <v>108</v>
      </c>
    </row>
    <row r="76" ht="15.75" customHeight="1">
      <c r="F76" s="3" t="s">
        <v>109</v>
      </c>
    </row>
    <row r="77" ht="15.75" customHeight="1">
      <c r="F77" s="3" t="s">
        <v>110</v>
      </c>
    </row>
    <row r="78" ht="15.75" customHeight="1">
      <c r="F78" s="3" t="s">
        <v>111</v>
      </c>
    </row>
    <row r="79" ht="15.75" customHeight="1">
      <c r="F79" s="3" t="s">
        <v>112</v>
      </c>
    </row>
    <row r="80" ht="15.75" customHeight="1">
      <c r="F80" s="3" t="s">
        <v>113</v>
      </c>
    </row>
    <row r="81" ht="15.75" customHeight="1">
      <c r="F81" s="3" t="s">
        <v>114</v>
      </c>
    </row>
    <row r="82" ht="15.75" customHeight="1">
      <c r="F82" s="3" t="s">
        <v>115</v>
      </c>
    </row>
    <row r="83" ht="15.75" customHeight="1">
      <c r="F83" s="3" t="s">
        <v>116</v>
      </c>
    </row>
    <row r="84" ht="15.75" customHeight="1">
      <c r="F84" s="3" t="s">
        <v>117</v>
      </c>
    </row>
    <row r="85" ht="15.75" customHeight="1">
      <c r="F85" s="3" t="s">
        <v>118</v>
      </c>
    </row>
    <row r="86" ht="15.75" customHeight="1">
      <c r="F86" s="3" t="s">
        <v>119</v>
      </c>
    </row>
    <row r="87" ht="15.75" customHeight="1">
      <c r="F87" s="3" t="s">
        <v>120</v>
      </c>
    </row>
    <row r="88" ht="15.75" customHeight="1">
      <c r="F88" s="3" t="s">
        <v>121</v>
      </c>
    </row>
    <row r="89" ht="15.75" customHeight="1">
      <c r="F89" s="3" t="s">
        <v>122</v>
      </c>
    </row>
    <row r="90" ht="15.75" customHeight="1">
      <c r="F90" s="3" t="s">
        <v>123</v>
      </c>
    </row>
    <row r="91" ht="15.75" customHeight="1">
      <c r="F91" s="3" t="s">
        <v>124</v>
      </c>
    </row>
    <row r="92" ht="15.75" customHeight="1">
      <c r="F92" s="3" t="s">
        <v>125</v>
      </c>
    </row>
    <row r="93" ht="15.75" customHeight="1">
      <c r="F93" s="3" t="s">
        <v>126</v>
      </c>
    </row>
    <row r="94" ht="15.75" customHeight="1">
      <c r="F94" s="3" t="s">
        <v>127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15.5"/>
    <col customWidth="1" min="3" max="3" width="13.88"/>
    <col customWidth="1" min="4" max="4" width="12.63"/>
    <col customWidth="1" min="5" max="5" width="18.63"/>
    <col customWidth="1" min="6" max="6" width="12.63"/>
    <col hidden="1" min="7" max="7" width="12.63"/>
    <col customWidth="1" min="9" max="9" width="16.38"/>
  </cols>
  <sheetData>
    <row r="1">
      <c r="A1" s="4" t="s">
        <v>128</v>
      </c>
      <c r="B1" s="5" t="s">
        <v>129</v>
      </c>
      <c r="C1" s="6" t="s">
        <v>130</v>
      </c>
      <c r="E1" s="7"/>
      <c r="F1" s="8"/>
      <c r="G1" s="8"/>
      <c r="H1" s="9"/>
      <c r="I1" s="7"/>
      <c r="J1" s="2"/>
    </row>
    <row r="2" ht="15.75" customHeight="1">
      <c r="A2" s="10"/>
      <c r="B2" s="11"/>
      <c r="C2" s="10"/>
      <c r="D2" s="12"/>
      <c r="E2" s="13"/>
      <c r="F2" s="10"/>
      <c r="G2" s="14"/>
      <c r="H2" s="9"/>
      <c r="I2" s="13"/>
    </row>
    <row r="3" ht="15.75" customHeight="1">
      <c r="A3" s="15"/>
      <c r="B3" s="11"/>
      <c r="C3" s="16"/>
      <c r="D3" s="12"/>
      <c r="E3" s="13"/>
      <c r="F3" s="15"/>
      <c r="G3" s="17"/>
      <c r="H3" s="18"/>
      <c r="I3" s="19"/>
    </row>
    <row r="4" ht="15.75" customHeight="1">
      <c r="A4" s="20" t="s">
        <v>131</v>
      </c>
      <c r="B4" s="21">
        <f>SUM(B10:B12)</f>
        <v>5100</v>
      </c>
      <c r="C4" s="16"/>
      <c r="D4" s="12"/>
      <c r="E4" s="13"/>
      <c r="F4" s="15"/>
      <c r="G4" s="17"/>
      <c r="H4" s="18"/>
      <c r="I4" s="19"/>
    </row>
    <row r="5" ht="15.75" customHeight="1">
      <c r="A5" s="20" t="s">
        <v>132</v>
      </c>
      <c r="B5" s="21">
        <f>B15</f>
        <v>3412.5082</v>
      </c>
      <c r="C5" s="16"/>
      <c r="D5" s="22" t="s">
        <v>133</v>
      </c>
      <c r="E5" s="13">
        <f>B4-B5</f>
        <v>1687.4918</v>
      </c>
      <c r="F5" s="15"/>
      <c r="G5" s="17"/>
      <c r="H5" s="18"/>
      <c r="I5" s="19"/>
    </row>
    <row r="6" ht="15.75" customHeight="1">
      <c r="A6" s="20" t="s">
        <v>134</v>
      </c>
      <c r="B6" s="21">
        <f>E15</f>
        <v>5068.656</v>
      </c>
      <c r="C6" s="16"/>
      <c r="D6" s="23" t="s">
        <v>135</v>
      </c>
      <c r="E6" s="13">
        <f>B4-B6</f>
        <v>31.344</v>
      </c>
      <c r="F6" s="15"/>
      <c r="G6" s="17"/>
      <c r="H6" s="18"/>
      <c r="I6" s="19"/>
    </row>
    <row r="7" ht="15.75" customHeight="1">
      <c r="A7" s="8"/>
      <c r="B7" s="11"/>
      <c r="C7" s="16"/>
      <c r="D7" s="12"/>
      <c r="E7" s="13"/>
      <c r="F7" s="15"/>
      <c r="G7" s="24"/>
      <c r="H7" s="18"/>
      <c r="I7" s="19"/>
    </row>
    <row r="8" ht="15.75" customHeight="1">
      <c r="A8" s="25" t="s">
        <v>136</v>
      </c>
      <c r="B8" s="26" t="s">
        <v>137</v>
      </c>
      <c r="C8" s="27"/>
      <c r="D8" s="28"/>
      <c r="E8" s="29"/>
      <c r="F8" s="30"/>
      <c r="G8" s="31"/>
      <c r="H8" s="32"/>
      <c r="I8" s="33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5.75" customHeight="1">
      <c r="A9" s="35" t="s">
        <v>138</v>
      </c>
      <c r="B9" s="36"/>
      <c r="C9" s="16"/>
      <c r="D9" s="12"/>
      <c r="E9" s="13"/>
      <c r="F9" s="15"/>
      <c r="G9" s="24"/>
      <c r="H9" s="18"/>
      <c r="I9" s="19"/>
    </row>
    <row r="10" ht="15.75" customHeight="1">
      <c r="A10" s="4" t="s">
        <v>139</v>
      </c>
      <c r="B10" s="36">
        <v>5000.0</v>
      </c>
      <c r="C10" s="16"/>
      <c r="D10" s="12"/>
      <c r="E10" s="13"/>
      <c r="F10" s="15"/>
      <c r="G10" s="24"/>
      <c r="H10" s="18"/>
      <c r="I10" s="19"/>
    </row>
    <row r="11" ht="15.75" customHeight="1">
      <c r="A11" s="20" t="s">
        <v>140</v>
      </c>
      <c r="B11" s="36">
        <v>100.0</v>
      </c>
      <c r="C11" s="16"/>
      <c r="D11" s="12"/>
      <c r="E11" s="13"/>
      <c r="F11" s="15"/>
      <c r="G11" s="8"/>
      <c r="H11" s="18"/>
      <c r="I11" s="19"/>
    </row>
    <row r="12" ht="15.75" customHeight="1">
      <c r="A12" s="15"/>
      <c r="B12" s="11"/>
      <c r="C12" s="16"/>
      <c r="D12" s="12"/>
      <c r="F12" s="15"/>
      <c r="G12" s="8"/>
      <c r="H12" s="18"/>
      <c r="I12" s="19"/>
    </row>
    <row r="13" ht="15.75" customHeight="1">
      <c r="A13" s="37" t="s">
        <v>141</v>
      </c>
      <c r="B13" s="38"/>
      <c r="C13" s="27"/>
      <c r="D13" s="28"/>
      <c r="E13" s="29"/>
      <c r="F13" s="30"/>
      <c r="G13" s="39"/>
      <c r="H13" s="32"/>
      <c r="I13" s="33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5.75" customHeight="1">
      <c r="A14" s="20" t="s">
        <v>142</v>
      </c>
      <c r="B14" s="40" t="s">
        <v>143</v>
      </c>
      <c r="C14" s="41" t="s">
        <v>144</v>
      </c>
      <c r="D14" s="41" t="s">
        <v>145</v>
      </c>
      <c r="E14" s="42" t="s">
        <v>146</v>
      </c>
      <c r="F14" s="22" t="s">
        <v>147</v>
      </c>
      <c r="G14" s="43" t="s">
        <v>148</v>
      </c>
      <c r="H14" s="44" t="s">
        <v>149</v>
      </c>
      <c r="I14" s="45" t="s">
        <v>150</v>
      </c>
      <c r="J14" s="41" t="s">
        <v>151</v>
      </c>
      <c r="K14" s="41" t="s">
        <v>152</v>
      </c>
    </row>
    <row r="15" ht="15.75" customHeight="1">
      <c r="A15" s="20" t="s">
        <v>153</v>
      </c>
      <c r="B15" s="36">
        <f t="shared" ref="B15:C15" si="1">sum(B18:B9950)</f>
        <v>3412.5082</v>
      </c>
      <c r="C15" s="46">
        <f t="shared" si="1"/>
        <v>3967.88</v>
      </c>
      <c r="D15" s="46">
        <f>SUM(D18:D9950)</f>
        <v>793.576</v>
      </c>
      <c r="E15" s="47">
        <f>SUM(E17:E9950)</f>
        <v>5068.656</v>
      </c>
      <c r="F15" s="22" t="s">
        <v>154</v>
      </c>
      <c r="G15" s="43"/>
      <c r="H15" s="18"/>
      <c r="I15" s="19"/>
    </row>
    <row r="16" ht="15.75" customHeight="1">
      <c r="A16" s="48"/>
      <c r="B16" s="49"/>
      <c r="C16" s="50"/>
      <c r="D16" s="50"/>
      <c r="E16" s="51"/>
      <c r="F16" s="52"/>
      <c r="G16" s="53"/>
      <c r="H16" s="54"/>
      <c r="I16" s="55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A17" s="20" t="s">
        <v>155</v>
      </c>
      <c r="B17" s="56">
        <f t="shared" ref="B17:B18" si="2">64*4</f>
        <v>256</v>
      </c>
      <c r="C17" s="57">
        <v>256.0</v>
      </c>
      <c r="D17" s="57">
        <v>51.2</v>
      </c>
      <c r="E17" s="47">
        <v>307.2</v>
      </c>
      <c r="F17" s="22" t="s">
        <v>156</v>
      </c>
      <c r="G17" s="58" t="s">
        <v>157</v>
      </c>
      <c r="H17" s="59" t="s">
        <v>158</v>
      </c>
      <c r="I17" s="41" t="s">
        <v>159</v>
      </c>
      <c r="J17" s="60" t="s">
        <v>160</v>
      </c>
      <c r="K17" s="41" t="s">
        <v>161</v>
      </c>
      <c r="L17" s="41" t="s">
        <v>162</v>
      </c>
    </row>
    <row r="18" ht="15.75" customHeight="1">
      <c r="A18" s="20" t="s">
        <v>163</v>
      </c>
      <c r="B18" s="61">
        <f t="shared" si="2"/>
        <v>256</v>
      </c>
      <c r="C18" s="57">
        <v>256.0</v>
      </c>
      <c r="D18" s="57">
        <v>51.2</v>
      </c>
      <c r="E18" s="47">
        <v>307.2</v>
      </c>
      <c r="F18" s="22" t="s">
        <v>156</v>
      </c>
      <c r="G18" s="58" t="s">
        <v>157</v>
      </c>
      <c r="H18" s="59" t="s">
        <v>164</v>
      </c>
      <c r="I18" s="60" t="s">
        <v>159</v>
      </c>
      <c r="J18" s="60" t="s">
        <v>160</v>
      </c>
      <c r="K18" s="41" t="s">
        <v>161</v>
      </c>
    </row>
    <row r="19" ht="15.75" customHeight="1">
      <c r="A19" s="20" t="s">
        <v>165</v>
      </c>
      <c r="B19" s="36">
        <v>59.85</v>
      </c>
      <c r="C19" s="57">
        <v>59.85</v>
      </c>
      <c r="D19" s="57">
        <v>11.97</v>
      </c>
      <c r="E19" s="47">
        <v>71.82</v>
      </c>
      <c r="F19" s="22" t="s">
        <v>156</v>
      </c>
      <c r="G19" s="58" t="s">
        <v>157</v>
      </c>
      <c r="H19" s="62" t="s">
        <v>166</v>
      </c>
      <c r="I19" s="45" t="s">
        <v>159</v>
      </c>
      <c r="J19" s="60" t="s">
        <v>160</v>
      </c>
      <c r="K19" s="41" t="s">
        <v>167</v>
      </c>
    </row>
    <row r="20" ht="15.75" customHeight="1">
      <c r="A20" s="20" t="s">
        <v>168</v>
      </c>
      <c r="B20" s="36">
        <v>119.0</v>
      </c>
      <c r="C20" s="57">
        <v>95.39</v>
      </c>
      <c r="D20" s="46">
        <f t="shared" ref="D20:D84" si="3">0.2*C20</f>
        <v>19.078</v>
      </c>
      <c r="E20" s="47">
        <f t="shared" ref="E20:E58" si="4">D20+C20</f>
        <v>114.468</v>
      </c>
      <c r="F20" s="22" t="s">
        <v>169</v>
      </c>
      <c r="G20" s="58" t="s">
        <v>157</v>
      </c>
      <c r="H20" s="63" t="s">
        <v>170</v>
      </c>
      <c r="I20" s="64" t="s">
        <v>171</v>
      </c>
      <c r="J20" s="60" t="s">
        <v>160</v>
      </c>
    </row>
    <row r="21" ht="15.75" customHeight="1">
      <c r="A21" s="20" t="s">
        <v>172</v>
      </c>
      <c r="B21" s="36">
        <v>226.5</v>
      </c>
      <c r="C21" s="57">
        <v>220.0</v>
      </c>
      <c r="D21" s="46">
        <f t="shared" si="3"/>
        <v>44</v>
      </c>
      <c r="E21" s="47">
        <f t="shared" si="4"/>
        <v>264</v>
      </c>
      <c r="F21" s="22" t="s">
        <v>169</v>
      </c>
      <c r="G21" s="58" t="s">
        <v>157</v>
      </c>
      <c r="H21" s="62" t="s">
        <v>173</v>
      </c>
      <c r="I21" s="45" t="s">
        <v>171</v>
      </c>
      <c r="J21" s="60" t="s">
        <v>160</v>
      </c>
    </row>
    <row r="22" ht="15.75" customHeight="1">
      <c r="A22" s="20" t="s">
        <v>174</v>
      </c>
      <c r="B22" s="65">
        <v>107.0</v>
      </c>
      <c r="C22" s="57">
        <v>79.0</v>
      </c>
      <c r="D22" s="46">
        <f t="shared" si="3"/>
        <v>15.8</v>
      </c>
      <c r="E22" s="47">
        <f t="shared" si="4"/>
        <v>94.8</v>
      </c>
      <c r="F22" s="22" t="s">
        <v>169</v>
      </c>
      <c r="G22" s="58" t="s">
        <v>157</v>
      </c>
      <c r="H22" s="66" t="s">
        <v>175</v>
      </c>
      <c r="I22" s="45" t="s">
        <v>176</v>
      </c>
      <c r="J22" s="60" t="s">
        <v>160</v>
      </c>
    </row>
    <row r="23" ht="15.75" customHeight="1">
      <c r="A23" s="20" t="s">
        <v>177</v>
      </c>
      <c r="B23" s="36">
        <v>47.0</v>
      </c>
      <c r="C23" s="57">
        <v>32.0</v>
      </c>
      <c r="D23" s="46">
        <f t="shared" si="3"/>
        <v>6.4</v>
      </c>
      <c r="E23" s="47">
        <f t="shared" si="4"/>
        <v>38.4</v>
      </c>
      <c r="F23" s="67" t="s">
        <v>169</v>
      </c>
      <c r="G23" s="58" t="s">
        <v>157</v>
      </c>
      <c r="H23" s="63" t="s">
        <v>178</v>
      </c>
      <c r="I23" s="45" t="s">
        <v>179</v>
      </c>
      <c r="J23" s="60" t="s">
        <v>160</v>
      </c>
      <c r="K23" s="41" t="s">
        <v>180</v>
      </c>
    </row>
    <row r="24" ht="15.75" customHeight="1">
      <c r="A24" s="20" t="s">
        <v>181</v>
      </c>
      <c r="B24" s="61">
        <v>60.0</v>
      </c>
      <c r="C24" s="57">
        <v>60.0</v>
      </c>
      <c r="D24" s="46">
        <f t="shared" si="3"/>
        <v>12</v>
      </c>
      <c r="E24" s="47">
        <f t="shared" si="4"/>
        <v>72</v>
      </c>
      <c r="F24" s="67" t="s">
        <v>169</v>
      </c>
      <c r="G24" s="58" t="s">
        <v>157</v>
      </c>
      <c r="H24" s="59" t="s">
        <v>182</v>
      </c>
      <c r="I24" s="60" t="s">
        <v>171</v>
      </c>
      <c r="J24" s="60" t="s">
        <v>160</v>
      </c>
    </row>
    <row r="25" ht="15.75" customHeight="1">
      <c r="A25" s="20" t="s">
        <v>183</v>
      </c>
      <c r="B25" s="61">
        <v>35.06</v>
      </c>
      <c r="C25" s="57">
        <v>39.99</v>
      </c>
      <c r="D25" s="46">
        <f t="shared" si="3"/>
        <v>7.998</v>
      </c>
      <c r="E25" s="47">
        <f t="shared" si="4"/>
        <v>47.988</v>
      </c>
      <c r="F25" s="67" t="s">
        <v>169</v>
      </c>
      <c r="G25" s="58" t="s">
        <v>157</v>
      </c>
      <c r="H25" s="63" t="s">
        <v>184</v>
      </c>
      <c r="I25" s="60" t="s">
        <v>171</v>
      </c>
      <c r="J25" s="60" t="s">
        <v>160</v>
      </c>
    </row>
    <row r="26" ht="15.75" customHeight="1">
      <c r="A26" s="20" t="s">
        <v>185</v>
      </c>
      <c r="B26" s="61">
        <v>16.31</v>
      </c>
      <c r="C26" s="57">
        <v>12.0</v>
      </c>
      <c r="D26" s="46">
        <f t="shared" si="3"/>
        <v>2.4</v>
      </c>
      <c r="E26" s="47">
        <f t="shared" si="4"/>
        <v>14.4</v>
      </c>
      <c r="F26" s="67" t="s">
        <v>169</v>
      </c>
      <c r="G26" s="58" t="s">
        <v>157</v>
      </c>
      <c r="H26" s="68" t="s">
        <v>186</v>
      </c>
      <c r="I26" s="41" t="s">
        <v>159</v>
      </c>
      <c r="J26" s="60" t="s">
        <v>160</v>
      </c>
      <c r="K26" s="41" t="s">
        <v>187</v>
      </c>
    </row>
    <row r="27" ht="15.75" customHeight="1">
      <c r="A27" s="20" t="s">
        <v>188</v>
      </c>
      <c r="B27" s="61">
        <v>8.89</v>
      </c>
      <c r="C27" s="57">
        <v>16.31</v>
      </c>
      <c r="D27" s="57">
        <f t="shared" si="3"/>
        <v>3.262</v>
      </c>
      <c r="E27" s="47">
        <f t="shared" si="4"/>
        <v>19.572</v>
      </c>
      <c r="F27" s="67" t="s">
        <v>169</v>
      </c>
      <c r="G27" s="58" t="s">
        <v>157</v>
      </c>
      <c r="H27" s="63" t="s">
        <v>189</v>
      </c>
      <c r="I27" s="41" t="s">
        <v>159</v>
      </c>
      <c r="J27" s="60" t="s">
        <v>160</v>
      </c>
      <c r="K27" s="41" t="s">
        <v>187</v>
      </c>
    </row>
    <row r="28" ht="15.75" customHeight="1">
      <c r="A28" s="20" t="s">
        <v>190</v>
      </c>
      <c r="B28" s="61">
        <v>18.34</v>
      </c>
      <c r="C28" s="57">
        <v>15.0</v>
      </c>
      <c r="D28" s="46">
        <f t="shared" si="3"/>
        <v>3</v>
      </c>
      <c r="E28" s="47">
        <f t="shared" si="4"/>
        <v>18</v>
      </c>
      <c r="F28" s="67" t="s">
        <v>191</v>
      </c>
      <c r="G28" s="58" t="s">
        <v>157</v>
      </c>
      <c r="H28" s="62" t="s">
        <v>192</v>
      </c>
      <c r="I28" s="60" t="s">
        <v>193</v>
      </c>
      <c r="J28" s="60" t="s">
        <v>160</v>
      </c>
    </row>
    <row r="29" ht="15.75" customHeight="1">
      <c r="A29" s="20" t="s">
        <v>194</v>
      </c>
      <c r="B29" s="56"/>
      <c r="C29" s="57">
        <v>550.0</v>
      </c>
      <c r="D29" s="46">
        <f t="shared" si="3"/>
        <v>110</v>
      </c>
      <c r="E29" s="47">
        <f t="shared" si="4"/>
        <v>660</v>
      </c>
      <c r="F29" s="67" t="s">
        <v>154</v>
      </c>
      <c r="G29" s="58" t="s">
        <v>157</v>
      </c>
      <c r="H29" s="18"/>
      <c r="I29" s="69"/>
      <c r="J29" s="60" t="s">
        <v>195</v>
      </c>
    </row>
    <row r="30" ht="15.75" customHeight="1">
      <c r="A30" s="20" t="s">
        <v>196</v>
      </c>
      <c r="B30" s="61">
        <v>25.0</v>
      </c>
      <c r="C30" s="57">
        <v>25.0</v>
      </c>
      <c r="D30" s="46">
        <f t="shared" si="3"/>
        <v>5</v>
      </c>
      <c r="E30" s="47">
        <f t="shared" si="4"/>
        <v>30</v>
      </c>
      <c r="F30" s="67" t="s">
        <v>154</v>
      </c>
      <c r="G30" s="58" t="s">
        <v>157</v>
      </c>
      <c r="H30" s="18"/>
      <c r="I30" s="70" t="s">
        <v>197</v>
      </c>
      <c r="J30" s="60" t="s">
        <v>160</v>
      </c>
    </row>
    <row r="31" ht="15.75" customHeight="1">
      <c r="A31" s="41" t="s">
        <v>198</v>
      </c>
      <c r="B31" s="57">
        <v>4.6548</v>
      </c>
      <c r="C31" s="57">
        <v>4.31</v>
      </c>
      <c r="D31" s="46">
        <f t="shared" si="3"/>
        <v>0.862</v>
      </c>
      <c r="E31" s="47">
        <f t="shared" si="4"/>
        <v>5.172</v>
      </c>
      <c r="F31" s="22" t="s">
        <v>156</v>
      </c>
      <c r="G31" s="58" t="s">
        <v>157</v>
      </c>
      <c r="H31" s="71" t="s">
        <v>199</v>
      </c>
      <c r="I31" s="70" t="s">
        <v>200</v>
      </c>
      <c r="J31" s="60" t="s">
        <v>160</v>
      </c>
    </row>
    <row r="32" ht="15.75" customHeight="1">
      <c r="A32" s="41" t="s">
        <v>201</v>
      </c>
      <c r="B32" s="46"/>
      <c r="C32" s="57">
        <v>20.0</v>
      </c>
      <c r="D32" s="46">
        <f t="shared" si="3"/>
        <v>4</v>
      </c>
      <c r="E32" s="47">
        <f t="shared" si="4"/>
        <v>24</v>
      </c>
      <c r="F32" s="22" t="s">
        <v>156</v>
      </c>
      <c r="G32" s="58" t="s">
        <v>202</v>
      </c>
      <c r="H32" s="72"/>
      <c r="I32" s="70" t="s">
        <v>200</v>
      </c>
      <c r="J32" s="60" t="s">
        <v>160</v>
      </c>
    </row>
    <row r="33" ht="15.75" customHeight="1">
      <c r="A33" s="41" t="s">
        <v>203</v>
      </c>
      <c r="B33" s="46"/>
      <c r="C33" s="57">
        <v>13.0</v>
      </c>
      <c r="D33" s="46">
        <f t="shared" si="3"/>
        <v>2.6</v>
      </c>
      <c r="E33" s="47">
        <f t="shared" si="4"/>
        <v>15.6</v>
      </c>
      <c r="F33" s="22" t="s">
        <v>191</v>
      </c>
      <c r="G33" s="58" t="s">
        <v>157</v>
      </c>
      <c r="H33" s="73" t="s">
        <v>204</v>
      </c>
      <c r="I33" s="72"/>
      <c r="J33" s="60" t="s">
        <v>195</v>
      </c>
    </row>
    <row r="34" ht="15.75" customHeight="1">
      <c r="A34" s="41" t="s">
        <v>205</v>
      </c>
      <c r="B34" s="46"/>
      <c r="C34" s="57">
        <v>14.29</v>
      </c>
      <c r="D34" s="46">
        <f t="shared" si="3"/>
        <v>2.858</v>
      </c>
      <c r="E34" s="47">
        <f t="shared" si="4"/>
        <v>17.148</v>
      </c>
      <c r="F34" s="22" t="s">
        <v>206</v>
      </c>
      <c r="G34" s="58" t="s">
        <v>157</v>
      </c>
      <c r="H34" s="74" t="s">
        <v>207</v>
      </c>
      <c r="I34" s="60" t="s">
        <v>193</v>
      </c>
      <c r="J34" s="60" t="s">
        <v>160</v>
      </c>
    </row>
    <row r="35" ht="15.75" customHeight="1">
      <c r="A35" s="41" t="s">
        <v>208</v>
      </c>
      <c r="B35" s="57">
        <v>76.0</v>
      </c>
      <c r="C35" s="75">
        <v>76.0</v>
      </c>
      <c r="D35" s="46">
        <f t="shared" si="3"/>
        <v>15.2</v>
      </c>
      <c r="E35" s="47">
        <f t="shared" si="4"/>
        <v>91.2</v>
      </c>
      <c r="F35" s="22" t="s">
        <v>206</v>
      </c>
      <c r="G35" s="58" t="s">
        <v>157</v>
      </c>
      <c r="H35" s="74" t="s">
        <v>209</v>
      </c>
      <c r="I35" s="60" t="s">
        <v>210</v>
      </c>
      <c r="J35" s="60" t="s">
        <v>160</v>
      </c>
      <c r="K35" s="41" t="s">
        <v>211</v>
      </c>
    </row>
    <row r="36" ht="15.75" customHeight="1">
      <c r="A36" s="41" t="s">
        <v>212</v>
      </c>
      <c r="B36" s="57">
        <v>16.37</v>
      </c>
      <c r="C36" s="75">
        <v>10.0</v>
      </c>
      <c r="D36" s="46">
        <f t="shared" si="3"/>
        <v>2</v>
      </c>
      <c r="E36" s="47">
        <f t="shared" si="4"/>
        <v>12</v>
      </c>
      <c r="F36" s="22" t="s">
        <v>206</v>
      </c>
      <c r="G36" s="58" t="s">
        <v>157</v>
      </c>
      <c r="H36" s="74" t="s">
        <v>213</v>
      </c>
      <c r="I36" s="60" t="s">
        <v>214</v>
      </c>
      <c r="J36" s="60" t="s">
        <v>160</v>
      </c>
    </row>
    <row r="37" ht="15.75" customHeight="1">
      <c r="A37" s="41" t="s">
        <v>215</v>
      </c>
      <c r="B37" s="57">
        <v>101.5</v>
      </c>
      <c r="C37" s="75">
        <v>76.0</v>
      </c>
      <c r="D37" s="46">
        <f t="shared" si="3"/>
        <v>15.2</v>
      </c>
      <c r="E37" s="47">
        <f t="shared" si="4"/>
        <v>91.2</v>
      </c>
      <c r="F37" s="22" t="s">
        <v>216</v>
      </c>
      <c r="G37" s="58" t="s">
        <v>157</v>
      </c>
      <c r="H37" s="73" t="s">
        <v>217</v>
      </c>
      <c r="I37" s="60" t="s">
        <v>218</v>
      </c>
      <c r="J37" s="60" t="s">
        <v>160</v>
      </c>
    </row>
    <row r="38" ht="15.75" customHeight="1">
      <c r="A38" s="41" t="s">
        <v>219</v>
      </c>
      <c r="B38" s="57">
        <v>39.5</v>
      </c>
      <c r="C38" s="75">
        <v>36.49</v>
      </c>
      <c r="D38" s="46">
        <f t="shared" si="3"/>
        <v>7.298</v>
      </c>
      <c r="E38" s="47">
        <f t="shared" si="4"/>
        <v>43.788</v>
      </c>
      <c r="F38" s="22" t="s">
        <v>216</v>
      </c>
      <c r="G38" s="58" t="s">
        <v>157</v>
      </c>
      <c r="H38" s="73" t="s">
        <v>220</v>
      </c>
      <c r="I38" s="60" t="s">
        <v>221</v>
      </c>
      <c r="J38" s="60" t="s">
        <v>160</v>
      </c>
      <c r="K38" s="41" t="s">
        <v>187</v>
      </c>
    </row>
    <row r="39" ht="15.75" customHeight="1">
      <c r="A39" s="41" t="s">
        <v>222</v>
      </c>
      <c r="B39" s="57">
        <v>247.0</v>
      </c>
      <c r="C39" s="46">
        <f>12.99 * 12</f>
        <v>155.88</v>
      </c>
      <c r="D39" s="46">
        <f t="shared" si="3"/>
        <v>31.176</v>
      </c>
      <c r="E39" s="47">
        <f t="shared" si="4"/>
        <v>187.056</v>
      </c>
      <c r="F39" s="22" t="s">
        <v>206</v>
      </c>
      <c r="G39" s="58" t="s">
        <v>157</v>
      </c>
      <c r="H39" s="73" t="s">
        <v>223</v>
      </c>
      <c r="I39" s="60" t="s">
        <v>224</v>
      </c>
      <c r="J39" s="60" t="s">
        <v>160</v>
      </c>
    </row>
    <row r="40" ht="15.75" customHeight="1">
      <c r="A40" s="41" t="s">
        <v>225</v>
      </c>
      <c r="B40" s="57">
        <v>481.6</v>
      </c>
      <c r="C40" s="57">
        <v>545.0</v>
      </c>
      <c r="D40" s="46">
        <f t="shared" si="3"/>
        <v>109</v>
      </c>
      <c r="E40" s="47">
        <f t="shared" si="4"/>
        <v>654</v>
      </c>
      <c r="F40" s="22" t="s">
        <v>206</v>
      </c>
      <c r="G40" s="58" t="s">
        <v>157</v>
      </c>
      <c r="H40" s="73" t="s">
        <v>226</v>
      </c>
      <c r="I40" s="60" t="s">
        <v>210</v>
      </c>
      <c r="J40" s="60" t="s">
        <v>160</v>
      </c>
      <c r="K40" s="41" t="s">
        <v>211</v>
      </c>
    </row>
    <row r="41" ht="15.75" customHeight="1">
      <c r="A41" s="41" t="s">
        <v>227</v>
      </c>
      <c r="B41" s="46">
        <f>(68+8.16)</f>
        <v>76.16</v>
      </c>
      <c r="C41" s="75">
        <v>83.0</v>
      </c>
      <c r="D41" s="46">
        <f t="shared" si="3"/>
        <v>16.6</v>
      </c>
      <c r="E41" s="47">
        <f t="shared" si="4"/>
        <v>99.6</v>
      </c>
      <c r="F41" s="22" t="s">
        <v>206</v>
      </c>
      <c r="G41" s="58" t="s">
        <v>157</v>
      </c>
      <c r="H41" s="73" t="s">
        <v>228</v>
      </c>
      <c r="I41" s="60" t="s">
        <v>210</v>
      </c>
      <c r="J41" s="60" t="s">
        <v>160</v>
      </c>
      <c r="K41" s="41" t="s">
        <v>211</v>
      </c>
    </row>
    <row r="42" ht="15.75" customHeight="1">
      <c r="A42" s="41" t="s">
        <v>229</v>
      </c>
      <c r="B42" s="57">
        <v>112.0</v>
      </c>
      <c r="C42" s="76">
        <v>115.0</v>
      </c>
      <c r="D42" s="46">
        <f t="shared" si="3"/>
        <v>23</v>
      </c>
      <c r="E42" s="47">
        <f t="shared" si="4"/>
        <v>138</v>
      </c>
      <c r="F42" s="22" t="s">
        <v>206</v>
      </c>
      <c r="G42" s="58" t="s">
        <v>157</v>
      </c>
      <c r="H42" s="73" t="s">
        <v>230</v>
      </c>
      <c r="I42" s="60" t="s">
        <v>210</v>
      </c>
      <c r="J42" s="60" t="s">
        <v>160</v>
      </c>
      <c r="K42" s="41" t="s">
        <v>211</v>
      </c>
    </row>
    <row r="43" ht="15.75" customHeight="1">
      <c r="A43" s="41" t="s">
        <v>231</v>
      </c>
      <c r="B43" s="46">
        <f>204.17/6</f>
        <v>34.02833333</v>
      </c>
      <c r="C43" s="57">
        <v>106.0</v>
      </c>
      <c r="D43" s="46">
        <f t="shared" si="3"/>
        <v>21.2</v>
      </c>
      <c r="E43" s="47">
        <f t="shared" si="4"/>
        <v>127.2</v>
      </c>
      <c r="F43" s="22" t="s">
        <v>206</v>
      </c>
      <c r="H43" s="74" t="s">
        <v>232</v>
      </c>
      <c r="I43" s="60" t="s">
        <v>233</v>
      </c>
      <c r="J43" s="60" t="s">
        <v>160</v>
      </c>
    </row>
    <row r="44" ht="15.75" customHeight="1">
      <c r="A44" s="41" t="s">
        <v>234</v>
      </c>
      <c r="B44" s="57">
        <v>381.37</v>
      </c>
      <c r="C44" s="76">
        <v>380.8</v>
      </c>
      <c r="D44" s="46">
        <f t="shared" si="3"/>
        <v>76.16</v>
      </c>
      <c r="E44" s="47">
        <f t="shared" si="4"/>
        <v>456.96</v>
      </c>
      <c r="F44" s="22" t="s">
        <v>206</v>
      </c>
      <c r="G44" s="58" t="s">
        <v>157</v>
      </c>
      <c r="H44" s="74" t="s">
        <v>235</v>
      </c>
      <c r="I44" s="60" t="s">
        <v>236</v>
      </c>
      <c r="J44" s="60" t="s">
        <v>160</v>
      </c>
      <c r="K44" s="41" t="s">
        <v>237</v>
      </c>
    </row>
    <row r="45" ht="15.75" customHeight="1">
      <c r="A45" s="41" t="s">
        <v>238</v>
      </c>
      <c r="B45" s="57">
        <v>18.78</v>
      </c>
      <c r="C45" s="75">
        <v>8.99</v>
      </c>
      <c r="D45" s="46">
        <f t="shared" si="3"/>
        <v>1.798</v>
      </c>
      <c r="E45" s="47">
        <f t="shared" si="4"/>
        <v>10.788</v>
      </c>
      <c r="F45" s="22" t="s">
        <v>206</v>
      </c>
      <c r="G45" s="58" t="s">
        <v>157</v>
      </c>
      <c r="H45" s="74" t="s">
        <v>239</v>
      </c>
      <c r="I45" s="60" t="s">
        <v>240</v>
      </c>
      <c r="J45" s="60" t="s">
        <v>160</v>
      </c>
      <c r="K45" s="41" t="s">
        <v>211</v>
      </c>
    </row>
    <row r="46" ht="15.75" customHeight="1">
      <c r="A46" s="41" t="s">
        <v>241</v>
      </c>
      <c r="B46" s="46"/>
      <c r="C46" s="41">
        <v>5.61</v>
      </c>
      <c r="D46" s="46">
        <f t="shared" si="3"/>
        <v>1.122</v>
      </c>
      <c r="E46" s="47">
        <f t="shared" si="4"/>
        <v>6.732</v>
      </c>
      <c r="F46" s="22" t="s">
        <v>206</v>
      </c>
      <c r="H46" s="74" t="s">
        <v>242</v>
      </c>
      <c r="I46" s="60" t="s">
        <v>243</v>
      </c>
      <c r="J46" s="60" t="s">
        <v>244</v>
      </c>
    </row>
    <row r="47" ht="15.75" customHeight="1">
      <c r="A47" s="77" t="s">
        <v>245</v>
      </c>
      <c r="B47" s="57">
        <v>62.0</v>
      </c>
      <c r="C47" s="57">
        <v>24.0</v>
      </c>
      <c r="D47" s="46">
        <f t="shared" si="3"/>
        <v>4.8</v>
      </c>
      <c r="E47" s="47">
        <f t="shared" si="4"/>
        <v>28.8</v>
      </c>
      <c r="F47" s="22" t="s">
        <v>216</v>
      </c>
      <c r="H47" s="73" t="s">
        <v>246</v>
      </c>
      <c r="I47" s="60" t="s">
        <v>247</v>
      </c>
      <c r="J47" s="60" t="s">
        <v>160</v>
      </c>
    </row>
    <row r="48" ht="15.75" customHeight="1">
      <c r="A48" s="41" t="s">
        <v>248</v>
      </c>
      <c r="B48" s="57">
        <v>18.78</v>
      </c>
      <c r="C48" s="75">
        <v>39.42</v>
      </c>
      <c r="D48" s="46">
        <f t="shared" si="3"/>
        <v>7.884</v>
      </c>
      <c r="E48" s="47">
        <f t="shared" si="4"/>
        <v>47.304</v>
      </c>
      <c r="F48" s="22" t="s">
        <v>206</v>
      </c>
      <c r="G48" s="58" t="s">
        <v>157</v>
      </c>
      <c r="H48" s="74" t="s">
        <v>249</v>
      </c>
      <c r="I48" s="60" t="s">
        <v>250</v>
      </c>
      <c r="J48" s="60" t="s">
        <v>195</v>
      </c>
    </row>
    <row r="49" ht="15.75" customHeight="1">
      <c r="A49" s="41" t="s">
        <v>251</v>
      </c>
      <c r="B49" s="57">
        <v>273.58</v>
      </c>
      <c r="C49" s="57">
        <v>230.0</v>
      </c>
      <c r="D49" s="46">
        <f t="shared" si="3"/>
        <v>46</v>
      </c>
      <c r="E49" s="47">
        <f t="shared" si="4"/>
        <v>276</v>
      </c>
      <c r="F49" s="22" t="s">
        <v>216</v>
      </c>
      <c r="G49" s="58" t="s">
        <v>157</v>
      </c>
      <c r="H49" s="78"/>
      <c r="I49" s="60" t="s">
        <v>252</v>
      </c>
      <c r="J49" s="60" t="s">
        <v>160</v>
      </c>
      <c r="K49" s="41" t="s">
        <v>253</v>
      </c>
    </row>
    <row r="50" ht="15.75" customHeight="1">
      <c r="A50" s="79" t="s">
        <v>254</v>
      </c>
      <c r="B50" s="80"/>
      <c r="C50" s="81">
        <v>2.81</v>
      </c>
      <c r="D50" s="80">
        <f t="shared" si="3"/>
        <v>0.562</v>
      </c>
      <c r="E50" s="82">
        <f t="shared" si="4"/>
        <v>3.372</v>
      </c>
      <c r="F50" s="83" t="s">
        <v>216</v>
      </c>
      <c r="G50" s="84"/>
      <c r="H50" s="85" t="s">
        <v>255</v>
      </c>
      <c r="I50" s="86" t="s">
        <v>256</v>
      </c>
      <c r="J50" s="86" t="s">
        <v>195</v>
      </c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ht="15.75" customHeight="1">
      <c r="A51" s="41" t="s">
        <v>257</v>
      </c>
      <c r="B51" s="57">
        <v>14.0</v>
      </c>
      <c r="C51" s="57">
        <v>14.13</v>
      </c>
      <c r="D51" s="46">
        <f t="shared" si="3"/>
        <v>2.826</v>
      </c>
      <c r="E51" s="47">
        <f t="shared" si="4"/>
        <v>16.956</v>
      </c>
      <c r="F51" s="22" t="s">
        <v>216</v>
      </c>
      <c r="H51" s="73" t="s">
        <v>258</v>
      </c>
      <c r="I51" s="60" t="s">
        <v>259</v>
      </c>
      <c r="J51" s="60" t="s">
        <v>160</v>
      </c>
    </row>
    <row r="52" ht="15.75" customHeight="1">
      <c r="A52" s="41" t="s">
        <v>260</v>
      </c>
      <c r="B52" s="57">
        <v>14.0</v>
      </c>
      <c r="C52" s="57">
        <v>4.74</v>
      </c>
      <c r="D52" s="46">
        <f t="shared" si="3"/>
        <v>0.948</v>
      </c>
      <c r="E52" s="47">
        <f t="shared" si="4"/>
        <v>5.688</v>
      </c>
      <c r="F52" s="22" t="s">
        <v>216</v>
      </c>
      <c r="H52" s="73" t="s">
        <v>261</v>
      </c>
      <c r="I52" s="60" t="s">
        <v>259</v>
      </c>
      <c r="J52" s="60" t="s">
        <v>160</v>
      </c>
    </row>
    <row r="53" ht="15.75" customHeight="1">
      <c r="A53" s="41" t="s">
        <v>262</v>
      </c>
      <c r="B53" s="46">
        <f t="shared" ref="B53:B54" si="5">117.59/3</f>
        <v>39.19666667</v>
      </c>
      <c r="C53" s="57">
        <v>4.0</v>
      </c>
      <c r="D53" s="46">
        <f t="shared" si="3"/>
        <v>0.8</v>
      </c>
      <c r="E53" s="47">
        <f t="shared" si="4"/>
        <v>4.8</v>
      </c>
      <c r="F53" s="22" t="s">
        <v>206</v>
      </c>
      <c r="H53" s="87" t="s">
        <v>263</v>
      </c>
      <c r="I53" s="60" t="s">
        <v>264</v>
      </c>
      <c r="J53" s="60" t="s">
        <v>160</v>
      </c>
      <c r="K53" s="41" t="s">
        <v>237</v>
      </c>
    </row>
    <row r="54" ht="15.75" customHeight="1">
      <c r="A54" s="41" t="s">
        <v>265</v>
      </c>
      <c r="B54" s="46">
        <f t="shared" si="5"/>
        <v>39.19666667</v>
      </c>
      <c r="C54" s="57">
        <v>4.0</v>
      </c>
      <c r="D54" s="46">
        <f t="shared" si="3"/>
        <v>0.8</v>
      </c>
      <c r="E54" s="47">
        <f t="shared" si="4"/>
        <v>4.8</v>
      </c>
      <c r="F54" s="22" t="s">
        <v>206</v>
      </c>
      <c r="H54" s="87" t="s">
        <v>266</v>
      </c>
      <c r="I54" s="60" t="s">
        <v>264</v>
      </c>
      <c r="J54" s="60" t="s">
        <v>160</v>
      </c>
    </row>
    <row r="55" ht="15.75" customHeight="1">
      <c r="A55" s="41" t="s">
        <v>267</v>
      </c>
      <c r="B55" s="57"/>
      <c r="C55" s="57">
        <v>3.32</v>
      </c>
      <c r="D55" s="46">
        <f t="shared" si="3"/>
        <v>0.664</v>
      </c>
      <c r="E55" s="47">
        <f t="shared" si="4"/>
        <v>3.984</v>
      </c>
      <c r="F55" s="22" t="s">
        <v>216</v>
      </c>
      <c r="H55" s="73" t="s">
        <v>268</v>
      </c>
      <c r="I55" s="60" t="s">
        <v>256</v>
      </c>
      <c r="J55" s="60" t="s">
        <v>195</v>
      </c>
    </row>
    <row r="56" ht="15.75" customHeight="1">
      <c r="A56" s="41" t="s">
        <v>269</v>
      </c>
      <c r="B56" s="46">
        <f>117.59/3</f>
        <v>39.19666667</v>
      </c>
      <c r="C56" s="57">
        <v>96.0</v>
      </c>
      <c r="D56" s="46">
        <f t="shared" si="3"/>
        <v>19.2</v>
      </c>
      <c r="E56" s="47">
        <f t="shared" si="4"/>
        <v>115.2</v>
      </c>
      <c r="F56" s="22" t="s">
        <v>216</v>
      </c>
      <c r="H56" s="73" t="s">
        <v>270</v>
      </c>
      <c r="I56" s="60" t="s">
        <v>264</v>
      </c>
      <c r="J56" s="60" t="s">
        <v>271</v>
      </c>
    </row>
    <row r="57" ht="15.75" customHeight="1">
      <c r="A57" s="41" t="s">
        <v>272</v>
      </c>
      <c r="B57" s="57">
        <v>13.27</v>
      </c>
      <c r="C57" s="57">
        <v>4.0</v>
      </c>
      <c r="D57" s="46">
        <f t="shared" si="3"/>
        <v>0.8</v>
      </c>
      <c r="E57" s="47">
        <f t="shared" si="4"/>
        <v>4.8</v>
      </c>
      <c r="F57" s="22" t="s">
        <v>191</v>
      </c>
      <c r="H57" s="73" t="s">
        <v>273</v>
      </c>
      <c r="I57" s="60" t="s">
        <v>274</v>
      </c>
      <c r="J57" s="60" t="s">
        <v>160</v>
      </c>
    </row>
    <row r="58" ht="15.75" customHeight="1">
      <c r="A58" s="41" t="s">
        <v>275</v>
      </c>
      <c r="B58" s="46">
        <f t="shared" ref="B58:B59" si="6">204.17/6</f>
        <v>34.02833333</v>
      </c>
      <c r="C58" s="76">
        <v>37.0</v>
      </c>
      <c r="D58" s="46">
        <f t="shared" si="3"/>
        <v>7.4</v>
      </c>
      <c r="E58" s="47">
        <f t="shared" si="4"/>
        <v>44.4</v>
      </c>
      <c r="F58" s="22" t="s">
        <v>191</v>
      </c>
      <c r="H58" s="73" t="s">
        <v>276</v>
      </c>
      <c r="I58" s="60" t="s">
        <v>277</v>
      </c>
      <c r="J58" s="60" t="s">
        <v>271</v>
      </c>
    </row>
    <row r="59" ht="15.75" customHeight="1">
      <c r="A59" s="41" t="s">
        <v>278</v>
      </c>
      <c r="B59" s="46">
        <f t="shared" si="6"/>
        <v>34.02833333</v>
      </c>
      <c r="C59" s="47">
        <v>4.74</v>
      </c>
      <c r="D59" s="46">
        <f t="shared" si="3"/>
        <v>0.948</v>
      </c>
      <c r="E59" s="46">
        <f t="shared" ref="E59:E79" si="7">C59+D59</f>
        <v>5.688</v>
      </c>
      <c r="F59" s="67" t="s">
        <v>154</v>
      </c>
      <c r="G59" s="58"/>
      <c r="H59" s="73" t="s">
        <v>279</v>
      </c>
      <c r="I59" s="70" t="s">
        <v>277</v>
      </c>
      <c r="J59" s="60" t="s">
        <v>160</v>
      </c>
    </row>
    <row r="60" ht="15.75" customHeight="1">
      <c r="A60" s="41" t="s">
        <v>280</v>
      </c>
      <c r="B60" s="46"/>
      <c r="C60" s="47">
        <v>3.98</v>
      </c>
      <c r="D60" s="46">
        <f t="shared" si="3"/>
        <v>0.796</v>
      </c>
      <c r="E60" s="46">
        <f t="shared" si="7"/>
        <v>4.776</v>
      </c>
      <c r="F60" s="67" t="s">
        <v>154</v>
      </c>
      <c r="H60" s="73" t="s">
        <v>281</v>
      </c>
      <c r="I60" s="60" t="s">
        <v>282</v>
      </c>
      <c r="J60" s="60" t="s">
        <v>244</v>
      </c>
    </row>
    <row r="61" ht="15.75" customHeight="1">
      <c r="A61" s="41" t="s">
        <v>283</v>
      </c>
      <c r="B61" s="46"/>
      <c r="C61" s="47">
        <v>2.99</v>
      </c>
      <c r="D61" s="46">
        <f t="shared" si="3"/>
        <v>0.598</v>
      </c>
      <c r="E61" s="46">
        <f t="shared" si="7"/>
        <v>3.588</v>
      </c>
      <c r="F61" s="67" t="s">
        <v>154</v>
      </c>
      <c r="H61" s="74" t="s">
        <v>284</v>
      </c>
      <c r="I61" s="60" t="s">
        <v>285</v>
      </c>
      <c r="J61" s="60" t="s">
        <v>195</v>
      </c>
    </row>
    <row r="62" ht="15.75" customHeight="1">
      <c r="A62" s="41" t="s">
        <v>286</v>
      </c>
      <c r="B62" s="46"/>
      <c r="C62" s="47">
        <v>1.11</v>
      </c>
      <c r="D62" s="46">
        <f t="shared" si="3"/>
        <v>0.222</v>
      </c>
      <c r="E62" s="46">
        <f t="shared" si="7"/>
        <v>1.332</v>
      </c>
      <c r="F62" s="67" t="s">
        <v>154</v>
      </c>
      <c r="H62" s="73" t="s">
        <v>287</v>
      </c>
      <c r="I62" s="60" t="s">
        <v>288</v>
      </c>
      <c r="J62" s="60" t="s">
        <v>195</v>
      </c>
    </row>
    <row r="63" ht="15.75" customHeight="1">
      <c r="A63" s="41" t="s">
        <v>289</v>
      </c>
      <c r="B63" s="46"/>
      <c r="C63" s="47">
        <v>0.59</v>
      </c>
      <c r="D63" s="46">
        <f t="shared" si="3"/>
        <v>0.118</v>
      </c>
      <c r="E63" s="46">
        <f t="shared" si="7"/>
        <v>0.708</v>
      </c>
      <c r="F63" s="67" t="s">
        <v>154</v>
      </c>
      <c r="H63" s="73" t="s">
        <v>290</v>
      </c>
      <c r="I63" s="60" t="s">
        <v>282</v>
      </c>
      <c r="J63" s="60" t="s">
        <v>244</v>
      </c>
    </row>
    <row r="64" ht="15.75" customHeight="1">
      <c r="A64" s="41" t="s">
        <v>291</v>
      </c>
      <c r="B64" s="46"/>
      <c r="C64" s="47">
        <v>14.36</v>
      </c>
      <c r="D64" s="46">
        <f t="shared" si="3"/>
        <v>2.872</v>
      </c>
      <c r="E64" s="46">
        <f t="shared" si="7"/>
        <v>17.232</v>
      </c>
      <c r="F64" s="67" t="s">
        <v>154</v>
      </c>
      <c r="H64" s="73" t="s">
        <v>292</v>
      </c>
      <c r="I64" s="60" t="s">
        <v>282</v>
      </c>
      <c r="J64" s="60" t="s">
        <v>244</v>
      </c>
    </row>
    <row r="65" ht="15.75" customHeight="1">
      <c r="A65" s="41" t="s">
        <v>293</v>
      </c>
      <c r="C65" s="47">
        <v>5.26</v>
      </c>
      <c r="D65" s="46">
        <f t="shared" si="3"/>
        <v>1.052</v>
      </c>
      <c r="E65" s="46">
        <f t="shared" si="7"/>
        <v>6.312</v>
      </c>
      <c r="F65" s="67" t="s">
        <v>154</v>
      </c>
      <c r="H65" s="73" t="s">
        <v>294</v>
      </c>
      <c r="I65" s="60" t="s">
        <v>282</v>
      </c>
      <c r="J65" s="60" t="s">
        <v>244</v>
      </c>
    </row>
    <row r="66" ht="15.75" customHeight="1">
      <c r="A66" s="41" t="s">
        <v>295</v>
      </c>
      <c r="C66" s="47">
        <v>6.98</v>
      </c>
      <c r="D66" s="46">
        <f t="shared" si="3"/>
        <v>1.396</v>
      </c>
      <c r="E66" s="46">
        <f t="shared" si="7"/>
        <v>8.376</v>
      </c>
      <c r="F66" s="67" t="s">
        <v>154</v>
      </c>
      <c r="H66" s="73" t="s">
        <v>296</v>
      </c>
      <c r="I66" s="60" t="s">
        <v>282</v>
      </c>
      <c r="J66" s="60" t="s">
        <v>244</v>
      </c>
    </row>
    <row r="67" ht="15.75" customHeight="1">
      <c r="A67" s="41" t="s">
        <v>297</v>
      </c>
      <c r="C67" s="47">
        <v>5.98</v>
      </c>
      <c r="D67" s="46">
        <f t="shared" si="3"/>
        <v>1.196</v>
      </c>
      <c r="E67" s="46">
        <f t="shared" si="7"/>
        <v>7.176</v>
      </c>
      <c r="F67" s="67" t="s">
        <v>154</v>
      </c>
      <c r="H67" s="73" t="s">
        <v>298</v>
      </c>
      <c r="I67" s="60" t="s">
        <v>282</v>
      </c>
      <c r="J67" s="60" t="s">
        <v>244</v>
      </c>
    </row>
    <row r="68" ht="15.75" customHeight="1">
      <c r="A68" s="41" t="s">
        <v>299</v>
      </c>
      <c r="C68" s="47">
        <v>1.47</v>
      </c>
      <c r="D68" s="46">
        <f t="shared" si="3"/>
        <v>0.294</v>
      </c>
      <c r="E68" s="46">
        <f t="shared" si="7"/>
        <v>1.764</v>
      </c>
      <c r="F68" s="67" t="s">
        <v>154</v>
      </c>
      <c r="H68" s="73" t="s">
        <v>300</v>
      </c>
      <c r="I68" s="60" t="s">
        <v>282</v>
      </c>
      <c r="J68" s="60" t="s">
        <v>244</v>
      </c>
    </row>
    <row r="69" ht="15.75" customHeight="1">
      <c r="A69" s="41" t="s">
        <v>301</v>
      </c>
      <c r="C69" s="47">
        <v>34.98</v>
      </c>
      <c r="D69" s="46">
        <f t="shared" si="3"/>
        <v>6.996</v>
      </c>
      <c r="E69" s="46">
        <f t="shared" si="7"/>
        <v>41.976</v>
      </c>
      <c r="F69" s="67" t="s">
        <v>154</v>
      </c>
      <c r="H69" s="73" t="s">
        <v>302</v>
      </c>
      <c r="I69" s="60" t="s">
        <v>282</v>
      </c>
      <c r="J69" s="60" t="s">
        <v>244</v>
      </c>
    </row>
    <row r="70" ht="15.75" customHeight="1">
      <c r="A70" s="41" t="s">
        <v>303</v>
      </c>
      <c r="B70" s="57">
        <v>74.66</v>
      </c>
      <c r="C70" s="47">
        <v>8.99</v>
      </c>
      <c r="D70" s="46">
        <f t="shared" si="3"/>
        <v>1.798</v>
      </c>
      <c r="E70" s="46">
        <f t="shared" si="7"/>
        <v>10.788</v>
      </c>
      <c r="F70" s="67" t="s">
        <v>154</v>
      </c>
      <c r="H70" s="73" t="s">
        <v>304</v>
      </c>
      <c r="I70" s="60" t="s">
        <v>277</v>
      </c>
      <c r="J70" s="60" t="s">
        <v>271</v>
      </c>
    </row>
    <row r="71" ht="15.75" customHeight="1">
      <c r="A71" s="41" t="s">
        <v>305</v>
      </c>
      <c r="B71" s="57">
        <v>10.39</v>
      </c>
      <c r="C71" s="47">
        <v>9.99</v>
      </c>
      <c r="D71" s="46">
        <f t="shared" si="3"/>
        <v>1.998</v>
      </c>
      <c r="E71" s="46">
        <f t="shared" si="7"/>
        <v>11.988</v>
      </c>
      <c r="F71" s="22" t="s">
        <v>156</v>
      </c>
      <c r="H71" s="73" t="s">
        <v>306</v>
      </c>
      <c r="I71" s="60" t="s">
        <v>307</v>
      </c>
      <c r="J71" s="60" t="s">
        <v>160</v>
      </c>
    </row>
    <row r="72" ht="15.75" customHeight="1">
      <c r="A72" s="41" t="s">
        <v>305</v>
      </c>
      <c r="B72" s="57">
        <v>10.39</v>
      </c>
      <c r="C72" s="47">
        <v>9.99</v>
      </c>
      <c r="D72" s="46">
        <f t="shared" si="3"/>
        <v>1.998</v>
      </c>
      <c r="E72" s="46">
        <f t="shared" si="7"/>
        <v>11.988</v>
      </c>
      <c r="F72" s="22" t="s">
        <v>156</v>
      </c>
      <c r="H72" s="73" t="s">
        <v>308</v>
      </c>
      <c r="I72" s="2"/>
      <c r="J72" s="60" t="s">
        <v>160</v>
      </c>
    </row>
    <row r="73" ht="15.75" customHeight="1">
      <c r="A73" s="41" t="s">
        <v>309</v>
      </c>
      <c r="C73" s="57">
        <v>54.0</v>
      </c>
      <c r="D73" s="46">
        <f t="shared" si="3"/>
        <v>10.8</v>
      </c>
      <c r="E73" s="46">
        <f t="shared" si="7"/>
        <v>64.8</v>
      </c>
      <c r="F73" s="67" t="s">
        <v>216</v>
      </c>
      <c r="H73" s="73" t="s">
        <v>310</v>
      </c>
      <c r="I73" s="2"/>
      <c r="J73" s="60" t="s">
        <v>160</v>
      </c>
    </row>
    <row r="74" ht="15.75" customHeight="1">
      <c r="A74" s="41" t="s">
        <v>311</v>
      </c>
      <c r="C74" s="47">
        <v>8.0</v>
      </c>
      <c r="D74" s="46">
        <f t="shared" si="3"/>
        <v>1.6</v>
      </c>
      <c r="E74" s="46">
        <f t="shared" si="7"/>
        <v>9.6</v>
      </c>
      <c r="F74" s="67" t="s">
        <v>216</v>
      </c>
      <c r="H74" s="73" t="s">
        <v>312</v>
      </c>
      <c r="I74" s="2"/>
      <c r="J74" s="60" t="s">
        <v>195</v>
      </c>
    </row>
    <row r="75" ht="15.75" customHeight="1">
      <c r="A75" s="41" t="s">
        <v>313</v>
      </c>
      <c r="C75" s="57">
        <v>13.99</v>
      </c>
      <c r="D75" s="46">
        <f t="shared" si="3"/>
        <v>2.798</v>
      </c>
      <c r="E75" s="46">
        <f t="shared" si="7"/>
        <v>16.788</v>
      </c>
      <c r="F75" s="67" t="s">
        <v>216</v>
      </c>
      <c r="H75" s="73" t="s">
        <v>314</v>
      </c>
      <c r="I75" s="2"/>
      <c r="J75" s="60" t="s">
        <v>195</v>
      </c>
    </row>
    <row r="76" ht="15.75" customHeight="1">
      <c r="A76" s="88" t="s">
        <v>315</v>
      </c>
      <c r="B76" s="57">
        <v>9.6</v>
      </c>
      <c r="C76" s="57">
        <v>8.99</v>
      </c>
      <c r="D76" s="46">
        <f t="shared" si="3"/>
        <v>1.798</v>
      </c>
      <c r="E76" s="46">
        <f t="shared" si="7"/>
        <v>10.788</v>
      </c>
      <c r="F76" s="67" t="s">
        <v>216</v>
      </c>
      <c r="H76" s="73" t="s">
        <v>316</v>
      </c>
      <c r="I76" s="2"/>
      <c r="J76" s="60" t="s">
        <v>160</v>
      </c>
    </row>
    <row r="77" ht="15.75" customHeight="1">
      <c r="A77" s="88" t="s">
        <v>317</v>
      </c>
      <c r="B77" s="57">
        <v>16.27</v>
      </c>
      <c r="C77" s="57">
        <v>14.99</v>
      </c>
      <c r="D77" s="46">
        <f t="shared" si="3"/>
        <v>2.998</v>
      </c>
      <c r="E77" s="46">
        <f t="shared" si="7"/>
        <v>17.988</v>
      </c>
      <c r="F77" s="22" t="s">
        <v>216</v>
      </c>
      <c r="H77" s="73" t="s">
        <v>318</v>
      </c>
      <c r="I77" s="2"/>
      <c r="J77" s="60" t="s">
        <v>160</v>
      </c>
    </row>
    <row r="78" ht="15.75" customHeight="1">
      <c r="A78" s="88" t="s">
        <v>319</v>
      </c>
      <c r="B78" s="46"/>
      <c r="C78" s="57">
        <v>13.99</v>
      </c>
      <c r="D78" s="46">
        <f t="shared" si="3"/>
        <v>2.798</v>
      </c>
      <c r="E78" s="46">
        <f t="shared" si="7"/>
        <v>16.788</v>
      </c>
      <c r="F78" s="22" t="s">
        <v>216</v>
      </c>
      <c r="H78" s="73" t="s">
        <v>320</v>
      </c>
      <c r="I78" s="2"/>
      <c r="J78" s="60" t="s">
        <v>244</v>
      </c>
    </row>
    <row r="79" ht="15.75" customHeight="1">
      <c r="A79" s="88" t="s">
        <v>321</v>
      </c>
      <c r="C79" s="57">
        <v>16.99</v>
      </c>
      <c r="D79" s="46">
        <f t="shared" si="3"/>
        <v>3.398</v>
      </c>
      <c r="E79" s="46">
        <f t="shared" si="7"/>
        <v>20.388</v>
      </c>
      <c r="F79" s="67" t="s">
        <v>216</v>
      </c>
      <c r="H79" s="73" t="s">
        <v>322</v>
      </c>
      <c r="I79" s="2"/>
      <c r="J79" s="60" t="s">
        <v>195</v>
      </c>
    </row>
    <row r="80" ht="15.75" customHeight="1">
      <c r="A80" s="41" t="s">
        <v>323</v>
      </c>
      <c r="C80" s="75">
        <v>9.89</v>
      </c>
      <c r="D80" s="75">
        <f t="shared" si="3"/>
        <v>1.978</v>
      </c>
      <c r="E80" s="75">
        <f t="shared" ref="E80:E84" si="8">D80+C80</f>
        <v>11.868</v>
      </c>
      <c r="F80" s="67" t="s">
        <v>169</v>
      </c>
      <c r="H80" s="73" t="s">
        <v>324</v>
      </c>
      <c r="I80" s="2"/>
      <c r="J80" s="60" t="s">
        <v>195</v>
      </c>
    </row>
    <row r="81" ht="15.75" customHeight="1">
      <c r="A81" s="41" t="s">
        <v>325</v>
      </c>
      <c r="B81" s="57">
        <v>11.49</v>
      </c>
      <c r="C81" s="75">
        <v>12.44</v>
      </c>
      <c r="D81" s="75">
        <f t="shared" si="3"/>
        <v>2.488</v>
      </c>
      <c r="E81" s="75">
        <f t="shared" si="8"/>
        <v>14.928</v>
      </c>
      <c r="F81" s="67" t="s">
        <v>206</v>
      </c>
      <c r="H81" s="73" t="s">
        <v>326</v>
      </c>
      <c r="I81" s="2"/>
      <c r="J81" s="60" t="s">
        <v>160</v>
      </c>
    </row>
    <row r="82" ht="15.75" customHeight="1">
      <c r="A82" s="41" t="s">
        <v>327</v>
      </c>
      <c r="B82" s="57">
        <v>121.09</v>
      </c>
      <c r="C82" s="75">
        <v>120.13</v>
      </c>
      <c r="D82" s="89">
        <f t="shared" si="3"/>
        <v>24.026</v>
      </c>
      <c r="E82" s="89">
        <f t="shared" si="8"/>
        <v>144.156</v>
      </c>
      <c r="F82" s="67" t="s">
        <v>206</v>
      </c>
      <c r="H82" s="87" t="s">
        <v>328</v>
      </c>
      <c r="I82" s="2"/>
      <c r="J82" s="60" t="s">
        <v>160</v>
      </c>
    </row>
    <row r="83" ht="15.75" customHeight="1">
      <c r="A83" s="41" t="s">
        <v>329</v>
      </c>
      <c r="B83" s="57">
        <v>4.0608</v>
      </c>
      <c r="C83" s="75">
        <v>3.76</v>
      </c>
      <c r="D83" s="89">
        <f t="shared" si="3"/>
        <v>0.752</v>
      </c>
      <c r="E83" s="89">
        <f t="shared" si="8"/>
        <v>4.512</v>
      </c>
      <c r="F83" s="67" t="s">
        <v>156</v>
      </c>
      <c r="H83" s="90" t="s">
        <v>330</v>
      </c>
      <c r="I83" s="2"/>
      <c r="J83" s="60" t="s">
        <v>160</v>
      </c>
    </row>
    <row r="84" ht="15.75" customHeight="1">
      <c r="A84" s="41" t="s">
        <v>331</v>
      </c>
      <c r="B84" s="75">
        <v>5.3676</v>
      </c>
      <c r="C84" s="75">
        <v>4.97</v>
      </c>
      <c r="D84" s="89">
        <f t="shared" si="3"/>
        <v>0.994</v>
      </c>
      <c r="E84" s="89">
        <f t="shared" si="8"/>
        <v>5.964</v>
      </c>
      <c r="F84" s="67" t="s">
        <v>156</v>
      </c>
      <c r="H84" s="90" t="s">
        <v>330</v>
      </c>
      <c r="I84" s="2"/>
      <c r="J84" s="60" t="s">
        <v>160</v>
      </c>
    </row>
    <row r="85" ht="15.75" customHeight="1">
      <c r="H85" s="78"/>
      <c r="I85" s="2"/>
    </row>
    <row r="86" ht="15.75" customHeight="1">
      <c r="H86" s="78"/>
      <c r="I86" s="2"/>
    </row>
    <row r="87" ht="15.75" customHeight="1">
      <c r="H87" s="78"/>
      <c r="I87" s="2"/>
    </row>
    <row r="88" ht="15.75" customHeight="1">
      <c r="H88" s="78"/>
      <c r="I88" s="2"/>
    </row>
    <row r="89" ht="15.75" customHeight="1">
      <c r="H89" s="78"/>
      <c r="I89" s="2"/>
    </row>
    <row r="90" ht="15.75" customHeight="1">
      <c r="H90" s="78"/>
      <c r="I90" s="2"/>
    </row>
    <row r="91" ht="15.75" customHeight="1">
      <c r="H91" s="78"/>
      <c r="I91" s="2"/>
    </row>
    <row r="92" ht="15.75" customHeight="1">
      <c r="H92" s="78"/>
      <c r="I92" s="2"/>
    </row>
    <row r="93" ht="15.75" customHeight="1">
      <c r="H93" s="78"/>
      <c r="I93" s="2"/>
    </row>
    <row r="94" ht="15.75" customHeight="1">
      <c r="H94" s="78"/>
      <c r="I94" s="2"/>
    </row>
    <row r="95" ht="15.75" customHeight="1">
      <c r="H95" s="78"/>
      <c r="I95" s="2"/>
    </row>
    <row r="96" ht="15.75" customHeight="1">
      <c r="H96" s="78"/>
      <c r="I96" s="2"/>
    </row>
    <row r="97" ht="15.75" customHeight="1">
      <c r="H97" s="78"/>
      <c r="I97" s="2"/>
    </row>
    <row r="98" ht="15.75" customHeight="1">
      <c r="H98" s="78"/>
      <c r="I98" s="2"/>
    </row>
    <row r="99" ht="15.75" customHeight="1">
      <c r="H99" s="78"/>
      <c r="I99" s="2"/>
    </row>
    <row r="100" ht="15.75" customHeight="1">
      <c r="H100" s="78"/>
      <c r="I100" s="2"/>
    </row>
    <row r="101" ht="15.75" customHeight="1">
      <c r="H101" s="78"/>
      <c r="I101" s="2"/>
    </row>
    <row r="102" ht="15.75" customHeight="1">
      <c r="H102" s="78"/>
      <c r="I102" s="2"/>
    </row>
    <row r="103" ht="15.75" customHeight="1">
      <c r="H103" s="78"/>
      <c r="I103" s="2"/>
    </row>
    <row r="104" ht="15.75" customHeight="1">
      <c r="H104" s="78"/>
      <c r="I104" s="2"/>
    </row>
    <row r="105" ht="15.75" customHeight="1">
      <c r="H105" s="78"/>
      <c r="I105" s="2"/>
    </row>
    <row r="106" ht="15.75" customHeight="1">
      <c r="H106" s="78"/>
      <c r="I106" s="2"/>
    </row>
    <row r="107" ht="15.75" customHeight="1">
      <c r="H107" s="78"/>
      <c r="I107" s="2"/>
    </row>
    <row r="108" ht="15.75" customHeight="1">
      <c r="H108" s="78"/>
      <c r="I108" s="2"/>
    </row>
    <row r="109" ht="15.75" customHeight="1">
      <c r="H109" s="78"/>
      <c r="I109" s="2"/>
    </row>
    <row r="110" ht="15.75" customHeight="1">
      <c r="H110" s="78"/>
      <c r="I110" s="2"/>
    </row>
    <row r="111" ht="15.75" customHeight="1">
      <c r="H111" s="78"/>
      <c r="I111" s="2"/>
    </row>
    <row r="112" ht="15.75" customHeight="1">
      <c r="H112" s="78"/>
      <c r="I112" s="2"/>
    </row>
    <row r="113" ht="15.75" customHeight="1">
      <c r="H113" s="78"/>
      <c r="I113" s="2"/>
    </row>
    <row r="114" ht="15.75" customHeight="1">
      <c r="H114" s="78"/>
      <c r="I114" s="2"/>
    </row>
    <row r="115" ht="15.75" customHeight="1">
      <c r="H115" s="78"/>
      <c r="I115" s="2"/>
    </row>
    <row r="116" ht="15.75" customHeight="1">
      <c r="H116" s="78"/>
      <c r="I116" s="2"/>
    </row>
    <row r="117" ht="15.75" customHeight="1">
      <c r="H117" s="78"/>
      <c r="I117" s="2"/>
    </row>
    <row r="118" ht="15.75" customHeight="1">
      <c r="H118" s="78"/>
      <c r="I118" s="2"/>
    </row>
    <row r="119" ht="15.75" customHeight="1">
      <c r="H119" s="78"/>
      <c r="I119" s="2"/>
    </row>
    <row r="120" ht="15.75" customHeight="1">
      <c r="H120" s="78"/>
      <c r="I120" s="2"/>
    </row>
    <row r="121" ht="15.75" customHeight="1">
      <c r="H121" s="78"/>
      <c r="I121" s="2"/>
    </row>
    <row r="122" ht="15.75" customHeight="1">
      <c r="H122" s="78"/>
      <c r="I122" s="2"/>
    </row>
    <row r="123" ht="15.75" customHeight="1">
      <c r="H123" s="78"/>
      <c r="I123" s="2"/>
    </row>
    <row r="124" ht="15.75" customHeight="1">
      <c r="H124" s="78"/>
      <c r="I124" s="2"/>
    </row>
    <row r="125" ht="15.75" customHeight="1">
      <c r="H125" s="78"/>
      <c r="I125" s="2"/>
    </row>
    <row r="126" ht="15.75" customHeight="1">
      <c r="H126" s="78"/>
      <c r="I126" s="2"/>
    </row>
    <row r="127" ht="15.75" customHeight="1">
      <c r="H127" s="78"/>
      <c r="I127" s="2"/>
    </row>
    <row r="128" ht="15.75" customHeight="1">
      <c r="H128" s="78"/>
      <c r="I128" s="2"/>
    </row>
    <row r="129" ht="15.75" customHeight="1">
      <c r="H129" s="78"/>
      <c r="I129" s="2"/>
    </row>
    <row r="130" ht="15.75" customHeight="1">
      <c r="H130" s="78"/>
      <c r="I130" s="2"/>
    </row>
    <row r="131" ht="15.75" customHeight="1">
      <c r="H131" s="78"/>
      <c r="I131" s="2"/>
    </row>
    <row r="132" ht="15.75" customHeight="1">
      <c r="H132" s="78"/>
      <c r="I132" s="2"/>
    </row>
    <row r="133" ht="15.75" customHeight="1">
      <c r="H133" s="78"/>
      <c r="I133" s="2"/>
    </row>
    <row r="134" ht="15.75" customHeight="1">
      <c r="H134" s="78"/>
      <c r="I134" s="2"/>
    </row>
    <row r="135" ht="15.75" customHeight="1">
      <c r="H135" s="78"/>
      <c r="I135" s="2"/>
    </row>
    <row r="136" ht="15.75" customHeight="1">
      <c r="H136" s="78"/>
      <c r="I136" s="2"/>
    </row>
    <row r="137" ht="15.75" customHeight="1">
      <c r="H137" s="78"/>
      <c r="I137" s="2"/>
    </row>
    <row r="138" ht="15.75" customHeight="1">
      <c r="H138" s="78"/>
      <c r="I138" s="2"/>
    </row>
    <row r="139" ht="15.75" customHeight="1">
      <c r="H139" s="78"/>
      <c r="I139" s="2"/>
    </row>
    <row r="140" ht="15.75" customHeight="1">
      <c r="H140" s="78"/>
      <c r="I140" s="2"/>
    </row>
    <row r="141" ht="15.75" customHeight="1">
      <c r="H141" s="78"/>
      <c r="I141" s="2"/>
    </row>
    <row r="142" ht="15.75" customHeight="1">
      <c r="H142" s="78"/>
      <c r="I142" s="2"/>
    </row>
    <row r="143" ht="15.75" customHeight="1">
      <c r="H143" s="78"/>
      <c r="I143" s="2"/>
    </row>
    <row r="144" ht="15.75" customHeight="1">
      <c r="H144" s="78"/>
      <c r="I144" s="2"/>
    </row>
    <row r="145" ht="15.75" customHeight="1">
      <c r="H145" s="78"/>
      <c r="I145" s="2"/>
    </row>
    <row r="146" ht="15.75" customHeight="1">
      <c r="H146" s="78"/>
      <c r="I146" s="2"/>
    </row>
    <row r="147" ht="15.75" customHeight="1">
      <c r="H147" s="78"/>
      <c r="I147" s="2"/>
    </row>
    <row r="148" ht="15.75" customHeight="1">
      <c r="H148" s="78"/>
      <c r="I148" s="2"/>
    </row>
    <row r="149" ht="15.75" customHeight="1">
      <c r="H149" s="78"/>
      <c r="I149" s="2"/>
    </row>
    <row r="150" ht="15.75" customHeight="1">
      <c r="H150" s="78"/>
      <c r="I150" s="2"/>
    </row>
    <row r="151" ht="15.75" customHeight="1">
      <c r="H151" s="78"/>
      <c r="I151" s="2"/>
    </row>
    <row r="152" ht="15.75" customHeight="1">
      <c r="H152" s="78"/>
      <c r="I152" s="2"/>
    </row>
    <row r="153" ht="15.75" customHeight="1">
      <c r="H153" s="78"/>
      <c r="I153" s="2"/>
    </row>
    <row r="154" ht="15.75" customHeight="1">
      <c r="H154" s="78"/>
      <c r="I154" s="2"/>
    </row>
    <row r="155" ht="15.75" customHeight="1">
      <c r="H155" s="78"/>
      <c r="I155" s="2"/>
    </row>
    <row r="156" ht="15.75" customHeight="1">
      <c r="H156" s="78"/>
      <c r="I156" s="2"/>
    </row>
    <row r="157" ht="15.75" customHeight="1">
      <c r="H157" s="78"/>
      <c r="I157" s="2"/>
    </row>
    <row r="158" ht="15.75" customHeight="1">
      <c r="H158" s="78"/>
      <c r="I158" s="2"/>
    </row>
    <row r="159" ht="15.75" customHeight="1">
      <c r="H159" s="78"/>
      <c r="I159" s="2"/>
    </row>
    <row r="160" ht="15.75" customHeight="1">
      <c r="H160" s="78"/>
      <c r="I160" s="2"/>
    </row>
    <row r="161" ht="15.75" customHeight="1">
      <c r="H161" s="78"/>
      <c r="I161" s="2"/>
    </row>
    <row r="162" ht="15.75" customHeight="1">
      <c r="H162" s="78"/>
      <c r="I162" s="2"/>
    </row>
    <row r="163" ht="15.75" customHeight="1">
      <c r="H163" s="78"/>
      <c r="I163" s="2"/>
    </row>
    <row r="164" ht="15.75" customHeight="1">
      <c r="H164" s="78"/>
      <c r="I164" s="2"/>
    </row>
    <row r="165" ht="15.75" customHeight="1">
      <c r="H165" s="78"/>
      <c r="I165" s="2"/>
    </row>
    <row r="166" ht="15.75" customHeight="1">
      <c r="H166" s="78"/>
      <c r="I166" s="2"/>
    </row>
    <row r="167" ht="15.75" customHeight="1">
      <c r="H167" s="78"/>
      <c r="I167" s="2"/>
    </row>
    <row r="168" ht="15.75" customHeight="1">
      <c r="H168" s="78"/>
      <c r="I168" s="2"/>
    </row>
    <row r="169" ht="15.75" customHeight="1">
      <c r="H169" s="78"/>
      <c r="I169" s="2"/>
    </row>
    <row r="170" ht="15.75" customHeight="1">
      <c r="H170" s="78"/>
      <c r="I170" s="2"/>
    </row>
    <row r="171" ht="15.75" customHeight="1">
      <c r="H171" s="78"/>
      <c r="I171" s="2"/>
    </row>
    <row r="172" ht="15.75" customHeight="1">
      <c r="H172" s="78"/>
      <c r="I172" s="2"/>
    </row>
    <row r="173" ht="15.75" customHeight="1">
      <c r="H173" s="78"/>
      <c r="I173" s="2"/>
    </row>
    <row r="174" ht="15.75" customHeight="1">
      <c r="H174" s="78"/>
      <c r="I174" s="2"/>
    </row>
    <row r="175" ht="15.75" customHeight="1">
      <c r="H175" s="78"/>
      <c r="I175" s="2"/>
    </row>
    <row r="176" ht="15.75" customHeight="1">
      <c r="H176" s="78"/>
      <c r="I176" s="2"/>
    </row>
    <row r="177" ht="15.75" customHeight="1">
      <c r="H177" s="78"/>
      <c r="I177" s="2"/>
    </row>
    <row r="178" ht="15.75" customHeight="1">
      <c r="H178" s="78"/>
      <c r="I178" s="2"/>
    </row>
    <row r="179" ht="15.75" customHeight="1">
      <c r="H179" s="78"/>
      <c r="I179" s="2"/>
    </row>
    <row r="180" ht="15.75" customHeight="1">
      <c r="H180" s="78"/>
      <c r="I180" s="2"/>
    </row>
    <row r="181" ht="15.75" customHeight="1">
      <c r="H181" s="78"/>
      <c r="I181" s="2"/>
    </row>
    <row r="182" ht="15.75" customHeight="1">
      <c r="H182" s="78"/>
      <c r="I182" s="2"/>
    </row>
    <row r="183" ht="15.75" customHeight="1">
      <c r="H183" s="78"/>
      <c r="I183" s="2"/>
    </row>
    <row r="184" ht="15.75" customHeight="1">
      <c r="H184" s="78"/>
      <c r="I184" s="2"/>
    </row>
    <row r="185" ht="15.75" customHeight="1">
      <c r="H185" s="78"/>
      <c r="I185" s="2"/>
    </row>
    <row r="186" ht="15.75" customHeight="1">
      <c r="H186" s="78"/>
      <c r="I186" s="2"/>
    </row>
    <row r="187" ht="15.75" customHeight="1">
      <c r="H187" s="78"/>
      <c r="I187" s="2"/>
    </row>
    <row r="188" ht="15.75" customHeight="1">
      <c r="H188" s="78"/>
      <c r="I188" s="2"/>
    </row>
    <row r="189" ht="15.75" customHeight="1">
      <c r="H189" s="78"/>
      <c r="I189" s="2"/>
    </row>
    <row r="190" ht="15.75" customHeight="1">
      <c r="H190" s="78"/>
      <c r="I190" s="2"/>
    </row>
    <row r="191" ht="15.75" customHeight="1">
      <c r="H191" s="78"/>
      <c r="I191" s="2"/>
    </row>
    <row r="192" ht="15.75" customHeight="1">
      <c r="H192" s="78"/>
      <c r="I192" s="2"/>
    </row>
    <row r="193" ht="15.75" customHeight="1">
      <c r="H193" s="78"/>
      <c r="I193" s="2"/>
    </row>
    <row r="194" ht="15.75" customHeight="1">
      <c r="H194" s="78"/>
      <c r="I194" s="2"/>
    </row>
    <row r="195" ht="15.75" customHeight="1">
      <c r="H195" s="78"/>
      <c r="I195" s="2"/>
    </row>
    <row r="196" ht="15.75" customHeight="1">
      <c r="H196" s="78"/>
      <c r="I196" s="2"/>
    </row>
    <row r="197" ht="15.75" customHeight="1">
      <c r="H197" s="78"/>
      <c r="I197" s="2"/>
    </row>
    <row r="198" ht="15.75" customHeight="1">
      <c r="H198" s="78"/>
      <c r="I198" s="2"/>
    </row>
    <row r="199" ht="15.75" customHeight="1">
      <c r="H199" s="78"/>
      <c r="I199" s="2"/>
    </row>
    <row r="200" ht="15.75" customHeight="1">
      <c r="H200" s="78"/>
      <c r="I200" s="2"/>
    </row>
    <row r="201" ht="15.75" customHeight="1">
      <c r="H201" s="78"/>
      <c r="I201" s="2"/>
    </row>
    <row r="202" ht="15.75" customHeight="1">
      <c r="H202" s="78"/>
      <c r="I202" s="2"/>
    </row>
    <row r="203" ht="15.75" customHeight="1">
      <c r="H203" s="78"/>
      <c r="I203" s="2"/>
    </row>
    <row r="204" ht="15.75" customHeight="1">
      <c r="H204" s="78"/>
      <c r="I204" s="2"/>
    </row>
    <row r="205" ht="15.75" customHeight="1">
      <c r="H205" s="78"/>
      <c r="I205" s="2"/>
    </row>
    <row r="206" ht="15.75" customHeight="1">
      <c r="H206" s="78"/>
      <c r="I206" s="2"/>
    </row>
    <row r="207" ht="15.75" customHeight="1">
      <c r="H207" s="78"/>
      <c r="I207" s="2"/>
    </row>
    <row r="208" ht="15.75" customHeight="1">
      <c r="H208" s="78"/>
      <c r="I208" s="2"/>
    </row>
    <row r="209" ht="15.75" customHeight="1">
      <c r="H209" s="78"/>
      <c r="I209" s="2"/>
    </row>
    <row r="210" ht="15.75" customHeight="1">
      <c r="H210" s="78"/>
      <c r="I210" s="2"/>
    </row>
    <row r="211" ht="15.75" customHeight="1">
      <c r="H211" s="78"/>
      <c r="I211" s="2"/>
    </row>
    <row r="212" ht="15.75" customHeight="1">
      <c r="H212" s="78"/>
      <c r="I212" s="2"/>
    </row>
    <row r="213" ht="15.75" customHeight="1">
      <c r="H213" s="78"/>
      <c r="I213" s="2"/>
    </row>
    <row r="214" ht="15.75" customHeight="1">
      <c r="H214" s="78"/>
      <c r="I214" s="2"/>
    </row>
    <row r="215" ht="15.75" customHeight="1">
      <c r="H215" s="78"/>
      <c r="I215" s="2"/>
    </row>
    <row r="216" ht="15.75" customHeight="1">
      <c r="H216" s="78"/>
      <c r="I216" s="2"/>
    </row>
    <row r="217" ht="15.75" customHeight="1">
      <c r="H217" s="78"/>
      <c r="I217" s="2"/>
    </row>
    <row r="218" ht="15.75" customHeight="1">
      <c r="H218" s="78"/>
      <c r="I218" s="2"/>
    </row>
    <row r="219" ht="15.75" customHeight="1">
      <c r="H219" s="78"/>
      <c r="I219" s="2"/>
    </row>
    <row r="220" ht="15.75" customHeight="1">
      <c r="H220" s="78"/>
      <c r="I220" s="2"/>
    </row>
    <row r="221" ht="15.75" customHeight="1">
      <c r="H221" s="78"/>
      <c r="I221" s="2"/>
    </row>
    <row r="222" ht="15.75" customHeight="1">
      <c r="H222" s="78"/>
      <c r="I222" s="2"/>
    </row>
    <row r="223" ht="15.75" customHeight="1">
      <c r="H223" s="78"/>
      <c r="I223" s="2"/>
    </row>
    <row r="224" ht="15.75" customHeight="1">
      <c r="H224" s="78"/>
      <c r="I224" s="2"/>
    </row>
    <row r="225" ht="15.75" customHeight="1">
      <c r="H225" s="78"/>
      <c r="I225" s="2"/>
    </row>
    <row r="226" ht="15.75" customHeight="1">
      <c r="H226" s="78"/>
      <c r="I226" s="2"/>
    </row>
    <row r="227" ht="15.75" customHeight="1">
      <c r="H227" s="78"/>
      <c r="I227" s="2"/>
    </row>
    <row r="228" ht="15.75" customHeight="1">
      <c r="H228" s="78"/>
      <c r="I228" s="2"/>
    </row>
    <row r="229" ht="15.75" customHeight="1">
      <c r="H229" s="78"/>
      <c r="I229" s="2"/>
    </row>
    <row r="230" ht="15.75" customHeight="1">
      <c r="H230" s="78"/>
      <c r="I230" s="2"/>
    </row>
    <row r="231" ht="15.75" customHeight="1">
      <c r="H231" s="78"/>
      <c r="I231" s="2"/>
    </row>
    <row r="232" ht="15.75" customHeight="1">
      <c r="H232" s="78"/>
      <c r="I232" s="2"/>
    </row>
    <row r="233" ht="15.75" customHeight="1">
      <c r="H233" s="78"/>
      <c r="I233" s="2"/>
    </row>
    <row r="234" ht="15.75" customHeight="1">
      <c r="H234" s="78"/>
      <c r="I234" s="2"/>
    </row>
    <row r="235" ht="15.75" customHeight="1">
      <c r="H235" s="78"/>
      <c r="I235" s="2"/>
    </row>
    <row r="236" ht="15.75" customHeight="1">
      <c r="H236" s="78"/>
      <c r="I236" s="2"/>
    </row>
    <row r="237" ht="15.75" customHeight="1">
      <c r="H237" s="78"/>
      <c r="I237" s="2"/>
    </row>
    <row r="238" ht="15.75" customHeight="1">
      <c r="H238" s="78"/>
      <c r="I238" s="2"/>
    </row>
    <row r="239" ht="15.75" customHeight="1">
      <c r="H239" s="78"/>
      <c r="I239" s="2"/>
    </row>
    <row r="240" ht="15.75" customHeight="1">
      <c r="H240" s="78"/>
      <c r="I240" s="2"/>
    </row>
    <row r="241" ht="15.75" customHeight="1">
      <c r="H241" s="78"/>
      <c r="I241" s="2"/>
    </row>
    <row r="242" ht="15.75" customHeight="1">
      <c r="H242" s="78"/>
      <c r="I242" s="2"/>
    </row>
    <row r="243" ht="15.75" customHeight="1">
      <c r="H243" s="78"/>
      <c r="I243" s="2"/>
    </row>
    <row r="244" ht="15.75" customHeight="1">
      <c r="H244" s="78"/>
      <c r="I244" s="2"/>
    </row>
    <row r="245" ht="15.75" customHeight="1">
      <c r="H245" s="78"/>
      <c r="I245" s="2"/>
    </row>
    <row r="246" ht="15.75" customHeight="1">
      <c r="H246" s="78"/>
      <c r="I246" s="2"/>
    </row>
    <row r="247" ht="15.75" customHeight="1">
      <c r="H247" s="78"/>
      <c r="I247" s="2"/>
    </row>
    <row r="248" ht="15.75" customHeight="1">
      <c r="H248" s="78"/>
      <c r="I248" s="2"/>
    </row>
    <row r="249" ht="15.75" customHeight="1">
      <c r="H249" s="78"/>
      <c r="I249" s="2"/>
    </row>
    <row r="250" ht="15.75" customHeight="1">
      <c r="H250" s="78"/>
      <c r="I250" s="2"/>
    </row>
    <row r="251" ht="15.75" customHeight="1">
      <c r="H251" s="78"/>
      <c r="I251" s="2"/>
    </row>
    <row r="252" ht="15.75" customHeight="1">
      <c r="H252" s="78"/>
      <c r="I252" s="2"/>
    </row>
    <row r="253" ht="15.75" customHeight="1">
      <c r="H253" s="78"/>
      <c r="I253" s="2"/>
    </row>
    <row r="254" ht="15.75" customHeight="1">
      <c r="H254" s="78"/>
      <c r="I254" s="2"/>
    </row>
    <row r="255" ht="15.75" customHeight="1">
      <c r="H255" s="78"/>
      <c r="I255" s="2"/>
    </row>
    <row r="256" ht="15.75" customHeight="1">
      <c r="H256" s="78"/>
      <c r="I256" s="2"/>
    </row>
    <row r="257" ht="15.75" customHeight="1">
      <c r="H257" s="78"/>
      <c r="I257" s="2"/>
    </row>
    <row r="258" ht="15.75" customHeight="1">
      <c r="H258" s="78"/>
      <c r="I258" s="2"/>
    </row>
    <row r="259" ht="15.75" customHeight="1">
      <c r="H259" s="78"/>
      <c r="I259" s="2"/>
    </row>
    <row r="260" ht="15.75" customHeight="1">
      <c r="H260" s="78"/>
      <c r="I260" s="2"/>
    </row>
    <row r="261" ht="15.75" customHeight="1">
      <c r="H261" s="78"/>
      <c r="I261" s="2"/>
    </row>
    <row r="262" ht="15.75" customHeight="1">
      <c r="H262" s="78"/>
      <c r="I262" s="2"/>
    </row>
    <row r="263" ht="15.75" customHeight="1">
      <c r="H263" s="78"/>
      <c r="I263" s="2"/>
    </row>
    <row r="264" ht="15.75" customHeight="1">
      <c r="H264" s="78"/>
      <c r="I264" s="2"/>
    </row>
    <row r="265" ht="15.75" customHeight="1">
      <c r="H265" s="78"/>
      <c r="I265" s="2"/>
    </row>
    <row r="266" ht="15.75" customHeight="1">
      <c r="H266" s="78"/>
      <c r="I266" s="2"/>
    </row>
    <row r="267" ht="15.75" customHeight="1">
      <c r="H267" s="78"/>
      <c r="I267" s="2"/>
    </row>
    <row r="268" ht="15.75" customHeight="1">
      <c r="H268" s="78"/>
      <c r="I268" s="2"/>
    </row>
    <row r="269" ht="15.75" customHeight="1">
      <c r="H269" s="78"/>
      <c r="I269" s="2"/>
    </row>
    <row r="270" ht="15.75" customHeight="1">
      <c r="H270" s="78"/>
      <c r="I270" s="2"/>
    </row>
    <row r="271" ht="15.75" customHeight="1">
      <c r="H271" s="78"/>
      <c r="I271" s="2"/>
    </row>
    <row r="272" ht="15.75" customHeight="1">
      <c r="H272" s="78"/>
      <c r="I272" s="2"/>
    </row>
    <row r="273" ht="15.75" customHeight="1">
      <c r="H273" s="78"/>
      <c r="I273" s="2"/>
    </row>
    <row r="274" ht="15.75" customHeight="1">
      <c r="H274" s="78"/>
      <c r="I274" s="2"/>
    </row>
    <row r="275" ht="15.75" customHeight="1">
      <c r="H275" s="78"/>
      <c r="I275" s="2"/>
    </row>
    <row r="276" ht="15.75" customHeight="1">
      <c r="H276" s="78"/>
      <c r="I276" s="2"/>
    </row>
    <row r="277" ht="15.75" customHeight="1">
      <c r="H277" s="78"/>
      <c r="I277" s="2"/>
    </row>
    <row r="278" ht="15.75" customHeight="1">
      <c r="H278" s="78"/>
      <c r="I278" s="2"/>
    </row>
    <row r="279" ht="15.75" customHeight="1">
      <c r="H279" s="78"/>
      <c r="I279" s="2"/>
    </row>
    <row r="280" ht="15.75" customHeight="1">
      <c r="H280" s="78"/>
      <c r="I280" s="2"/>
    </row>
    <row r="281" ht="15.75" customHeight="1">
      <c r="H281" s="78"/>
      <c r="I281" s="2"/>
    </row>
    <row r="282" ht="15.75" customHeight="1">
      <c r="H282" s="78"/>
      <c r="I282" s="2"/>
    </row>
    <row r="283" ht="15.75" customHeight="1">
      <c r="H283" s="78"/>
      <c r="I283" s="2"/>
    </row>
    <row r="284" ht="15.75" customHeight="1">
      <c r="H284" s="78"/>
      <c r="I284" s="2"/>
    </row>
    <row r="285" ht="15.75" customHeight="1">
      <c r="H285" s="78"/>
      <c r="I285" s="2"/>
    </row>
    <row r="286" ht="15.75" customHeight="1">
      <c r="H286" s="78"/>
      <c r="I286" s="2"/>
    </row>
    <row r="287" ht="15.75" customHeight="1">
      <c r="H287" s="78"/>
      <c r="I287" s="2"/>
    </row>
    <row r="288" ht="15.75" customHeight="1">
      <c r="H288" s="78"/>
      <c r="I288" s="2"/>
    </row>
    <row r="289" ht="15.75" customHeight="1">
      <c r="H289" s="78"/>
      <c r="I289" s="2"/>
    </row>
    <row r="290" ht="15.75" customHeight="1">
      <c r="H290" s="78"/>
      <c r="I290" s="2"/>
    </row>
    <row r="291" ht="15.75" customHeight="1">
      <c r="H291" s="78"/>
      <c r="I291" s="2"/>
    </row>
    <row r="292" ht="15.75" customHeight="1">
      <c r="H292" s="78"/>
      <c r="I292" s="2"/>
    </row>
    <row r="293" ht="15.75" customHeight="1">
      <c r="H293" s="78"/>
      <c r="I293" s="2"/>
    </row>
    <row r="294" ht="15.75" customHeight="1">
      <c r="H294" s="78"/>
      <c r="I294" s="2"/>
    </row>
    <row r="295" ht="15.75" customHeight="1">
      <c r="H295" s="78"/>
      <c r="I295" s="2"/>
    </row>
    <row r="296" ht="15.75" customHeight="1">
      <c r="H296" s="78"/>
      <c r="I296" s="2"/>
    </row>
    <row r="297" ht="15.75" customHeight="1">
      <c r="H297" s="78"/>
      <c r="I297" s="2"/>
    </row>
    <row r="298" ht="15.75" customHeight="1">
      <c r="H298" s="78"/>
      <c r="I298" s="2"/>
    </row>
    <row r="299" ht="15.75" customHeight="1">
      <c r="H299" s="78"/>
      <c r="I299" s="2"/>
    </row>
    <row r="300" ht="15.75" customHeight="1">
      <c r="H300" s="78"/>
      <c r="I300" s="2"/>
    </row>
    <row r="301" ht="15.75" customHeight="1">
      <c r="H301" s="78"/>
      <c r="I301" s="2"/>
    </row>
    <row r="302" ht="15.75" customHeight="1">
      <c r="H302" s="78"/>
      <c r="I302" s="2"/>
    </row>
    <row r="303" ht="15.75" customHeight="1">
      <c r="H303" s="78"/>
      <c r="I303" s="2"/>
    </row>
    <row r="304" ht="15.75" customHeight="1">
      <c r="H304" s="78"/>
      <c r="I304" s="2"/>
    </row>
    <row r="305" ht="15.75" customHeight="1">
      <c r="H305" s="78"/>
      <c r="I305" s="2"/>
    </row>
    <row r="306" ht="15.75" customHeight="1">
      <c r="H306" s="78"/>
      <c r="I306" s="2"/>
    </row>
    <row r="307" ht="15.75" customHeight="1">
      <c r="H307" s="78"/>
      <c r="I307" s="2"/>
    </row>
    <row r="308" ht="15.75" customHeight="1">
      <c r="H308" s="78"/>
      <c r="I308" s="2"/>
    </row>
    <row r="309" ht="15.75" customHeight="1">
      <c r="H309" s="78"/>
      <c r="I309" s="2"/>
    </row>
    <row r="310" ht="15.75" customHeight="1">
      <c r="H310" s="78"/>
      <c r="I310" s="2"/>
    </row>
    <row r="311" ht="15.75" customHeight="1">
      <c r="H311" s="78"/>
      <c r="I311" s="2"/>
    </row>
    <row r="312" ht="15.75" customHeight="1">
      <c r="H312" s="78"/>
      <c r="I312" s="2"/>
    </row>
    <row r="313" ht="15.75" customHeight="1">
      <c r="H313" s="78"/>
      <c r="I313" s="2"/>
    </row>
    <row r="314" ht="15.75" customHeight="1">
      <c r="H314" s="78"/>
      <c r="I314" s="2"/>
    </row>
    <row r="315" ht="15.75" customHeight="1">
      <c r="H315" s="78"/>
      <c r="I315" s="2"/>
    </row>
    <row r="316" ht="15.75" customHeight="1">
      <c r="H316" s="78"/>
      <c r="I316" s="2"/>
    </row>
    <row r="317" ht="15.75" customHeight="1">
      <c r="H317" s="78"/>
      <c r="I317" s="2"/>
    </row>
    <row r="318" ht="15.75" customHeight="1">
      <c r="H318" s="78"/>
      <c r="I318" s="2"/>
    </row>
    <row r="319" ht="15.75" customHeight="1">
      <c r="H319" s="78"/>
      <c r="I319" s="2"/>
    </row>
    <row r="320" ht="15.75" customHeight="1">
      <c r="H320" s="78"/>
      <c r="I320" s="2"/>
    </row>
    <row r="321" ht="15.75" customHeight="1">
      <c r="H321" s="78"/>
      <c r="I321" s="2"/>
    </row>
    <row r="322" ht="15.75" customHeight="1">
      <c r="H322" s="78"/>
      <c r="I322" s="2"/>
    </row>
    <row r="323" ht="15.75" customHeight="1">
      <c r="H323" s="78"/>
      <c r="I323" s="2"/>
    </row>
    <row r="324" ht="15.75" customHeight="1">
      <c r="H324" s="78"/>
      <c r="I324" s="2"/>
    </row>
    <row r="325" ht="15.75" customHeight="1">
      <c r="H325" s="78"/>
      <c r="I325" s="2"/>
    </row>
    <row r="326" ht="15.75" customHeight="1">
      <c r="H326" s="78"/>
      <c r="I326" s="2"/>
    </row>
    <row r="327" ht="15.75" customHeight="1">
      <c r="H327" s="78"/>
      <c r="I327" s="2"/>
    </row>
    <row r="328" ht="15.75" customHeight="1">
      <c r="H328" s="78"/>
      <c r="I328" s="2"/>
    </row>
    <row r="329" ht="15.75" customHeight="1">
      <c r="H329" s="78"/>
      <c r="I329" s="2"/>
    </row>
    <row r="330" ht="15.75" customHeight="1">
      <c r="H330" s="78"/>
      <c r="I330" s="2"/>
    </row>
    <row r="331" ht="15.75" customHeight="1">
      <c r="H331" s="78"/>
      <c r="I331" s="2"/>
    </row>
    <row r="332" ht="15.75" customHeight="1">
      <c r="H332" s="78"/>
      <c r="I332" s="2"/>
    </row>
    <row r="333" ht="15.75" customHeight="1">
      <c r="H333" s="78"/>
      <c r="I333" s="2"/>
    </row>
    <row r="334" ht="15.75" customHeight="1">
      <c r="H334" s="78"/>
      <c r="I334" s="2"/>
    </row>
    <row r="335" ht="15.75" customHeight="1">
      <c r="H335" s="78"/>
      <c r="I335" s="2"/>
    </row>
    <row r="336" ht="15.75" customHeight="1">
      <c r="H336" s="78"/>
      <c r="I336" s="2"/>
    </row>
    <row r="337" ht="15.75" customHeight="1">
      <c r="H337" s="78"/>
      <c r="I337" s="2"/>
    </row>
    <row r="338" ht="15.75" customHeight="1">
      <c r="H338" s="78"/>
      <c r="I338" s="2"/>
    </row>
    <row r="339" ht="15.75" customHeight="1">
      <c r="H339" s="78"/>
      <c r="I339" s="2"/>
    </row>
    <row r="340" ht="15.75" customHeight="1">
      <c r="H340" s="78"/>
      <c r="I340" s="2"/>
    </row>
    <row r="341" ht="15.75" customHeight="1">
      <c r="H341" s="78"/>
      <c r="I341" s="2"/>
    </row>
    <row r="342" ht="15.75" customHeight="1">
      <c r="H342" s="78"/>
      <c r="I342" s="2"/>
    </row>
    <row r="343" ht="15.75" customHeight="1">
      <c r="H343" s="78"/>
      <c r="I343" s="2"/>
    </row>
    <row r="344" ht="15.75" customHeight="1">
      <c r="H344" s="78"/>
      <c r="I344" s="2"/>
    </row>
    <row r="345" ht="15.75" customHeight="1">
      <c r="H345" s="78"/>
      <c r="I345" s="2"/>
    </row>
    <row r="346" ht="15.75" customHeight="1">
      <c r="H346" s="78"/>
      <c r="I346" s="2"/>
    </row>
    <row r="347" ht="15.75" customHeight="1">
      <c r="H347" s="78"/>
      <c r="I347" s="2"/>
    </row>
    <row r="348" ht="15.75" customHeight="1">
      <c r="H348" s="78"/>
      <c r="I348" s="2"/>
    </row>
    <row r="349" ht="15.75" customHeight="1">
      <c r="H349" s="78"/>
      <c r="I349" s="2"/>
    </row>
    <row r="350" ht="15.75" customHeight="1">
      <c r="H350" s="78"/>
      <c r="I350" s="2"/>
    </row>
    <row r="351" ht="15.75" customHeight="1">
      <c r="H351" s="78"/>
      <c r="I351" s="2"/>
    </row>
    <row r="352" ht="15.75" customHeight="1">
      <c r="H352" s="78"/>
      <c r="I352" s="2"/>
    </row>
    <row r="353" ht="15.75" customHeight="1">
      <c r="H353" s="78"/>
      <c r="I353" s="2"/>
    </row>
    <row r="354" ht="15.75" customHeight="1">
      <c r="H354" s="78"/>
      <c r="I354" s="2"/>
    </row>
    <row r="355" ht="15.75" customHeight="1">
      <c r="H355" s="78"/>
      <c r="I355" s="2"/>
    </row>
    <row r="356" ht="15.75" customHeight="1">
      <c r="H356" s="78"/>
      <c r="I356" s="2"/>
    </row>
    <row r="357" ht="15.75" customHeight="1">
      <c r="H357" s="78"/>
      <c r="I357" s="2"/>
    </row>
    <row r="358" ht="15.75" customHeight="1">
      <c r="H358" s="78"/>
      <c r="I358" s="2"/>
    </row>
    <row r="359" ht="15.75" customHeight="1">
      <c r="H359" s="78"/>
      <c r="I359" s="2"/>
    </row>
    <row r="360" ht="15.75" customHeight="1">
      <c r="H360" s="78"/>
      <c r="I360" s="2"/>
    </row>
    <row r="361" ht="15.75" customHeight="1">
      <c r="H361" s="78"/>
      <c r="I361" s="2"/>
    </row>
    <row r="362" ht="15.75" customHeight="1">
      <c r="H362" s="78"/>
      <c r="I362" s="2"/>
    </row>
    <row r="363" ht="15.75" customHeight="1">
      <c r="H363" s="78"/>
      <c r="I363" s="2"/>
    </row>
    <row r="364" ht="15.75" customHeight="1">
      <c r="H364" s="78"/>
      <c r="I364" s="2"/>
    </row>
    <row r="365" ht="15.75" customHeight="1">
      <c r="H365" s="78"/>
      <c r="I365" s="2"/>
    </row>
    <row r="366" ht="15.75" customHeight="1">
      <c r="H366" s="78"/>
      <c r="I366" s="2"/>
    </row>
    <row r="367" ht="15.75" customHeight="1">
      <c r="H367" s="78"/>
      <c r="I367" s="2"/>
    </row>
    <row r="368" ht="15.75" customHeight="1">
      <c r="H368" s="78"/>
      <c r="I368" s="2"/>
    </row>
    <row r="369" ht="15.75" customHeight="1">
      <c r="H369" s="78"/>
      <c r="I369" s="2"/>
    </row>
    <row r="370" ht="15.75" customHeight="1">
      <c r="H370" s="78"/>
      <c r="I370" s="2"/>
    </row>
    <row r="371" ht="15.75" customHeight="1">
      <c r="H371" s="78"/>
      <c r="I371" s="2"/>
    </row>
    <row r="372" ht="15.75" customHeight="1">
      <c r="H372" s="78"/>
      <c r="I372" s="2"/>
    </row>
    <row r="373" ht="15.75" customHeight="1">
      <c r="H373" s="78"/>
      <c r="I373" s="2"/>
    </row>
    <row r="374" ht="15.75" customHeight="1">
      <c r="H374" s="78"/>
      <c r="I374" s="2"/>
    </row>
    <row r="375" ht="15.75" customHeight="1">
      <c r="H375" s="78"/>
      <c r="I375" s="2"/>
    </row>
    <row r="376" ht="15.75" customHeight="1">
      <c r="H376" s="78"/>
      <c r="I376" s="2"/>
    </row>
    <row r="377" ht="15.75" customHeight="1">
      <c r="H377" s="78"/>
      <c r="I377" s="2"/>
    </row>
    <row r="378" ht="15.75" customHeight="1">
      <c r="H378" s="78"/>
      <c r="I378" s="2"/>
    </row>
    <row r="379" ht="15.75" customHeight="1">
      <c r="H379" s="78"/>
      <c r="I379" s="2"/>
    </row>
    <row r="380" ht="15.75" customHeight="1">
      <c r="H380" s="78"/>
      <c r="I380" s="2"/>
    </row>
    <row r="381" ht="15.75" customHeight="1">
      <c r="H381" s="78"/>
      <c r="I381" s="2"/>
    </row>
    <row r="382" ht="15.75" customHeight="1">
      <c r="H382" s="78"/>
      <c r="I382" s="2"/>
    </row>
    <row r="383" ht="15.75" customHeight="1">
      <c r="H383" s="78"/>
      <c r="I383" s="2"/>
    </row>
    <row r="384" ht="15.75" customHeight="1">
      <c r="H384" s="78"/>
      <c r="I384" s="2"/>
    </row>
    <row r="385" ht="15.75" customHeight="1">
      <c r="H385" s="78"/>
      <c r="I385" s="2"/>
    </row>
    <row r="386" ht="15.75" customHeight="1">
      <c r="H386" s="78"/>
      <c r="I386" s="2"/>
    </row>
    <row r="387" ht="15.75" customHeight="1">
      <c r="H387" s="78"/>
      <c r="I387" s="2"/>
    </row>
    <row r="388" ht="15.75" customHeight="1">
      <c r="H388" s="78"/>
      <c r="I388" s="2"/>
    </row>
    <row r="389" ht="15.75" customHeight="1">
      <c r="H389" s="78"/>
      <c r="I389" s="2"/>
    </row>
    <row r="390" ht="15.75" customHeight="1">
      <c r="H390" s="78"/>
      <c r="I390" s="2"/>
    </row>
    <row r="391" ht="15.75" customHeight="1">
      <c r="H391" s="78"/>
      <c r="I391" s="2"/>
    </row>
    <row r="392" ht="15.75" customHeight="1">
      <c r="H392" s="78"/>
      <c r="I392" s="2"/>
    </row>
    <row r="393" ht="15.75" customHeight="1">
      <c r="H393" s="78"/>
      <c r="I393" s="2"/>
    </row>
    <row r="394" ht="15.75" customHeight="1">
      <c r="H394" s="78"/>
      <c r="I394" s="2"/>
    </row>
    <row r="395" ht="15.75" customHeight="1">
      <c r="H395" s="78"/>
      <c r="I395" s="2"/>
    </row>
    <row r="396" ht="15.75" customHeight="1">
      <c r="H396" s="78"/>
      <c r="I396" s="2"/>
    </row>
    <row r="397" ht="15.75" customHeight="1">
      <c r="H397" s="78"/>
      <c r="I397" s="2"/>
    </row>
    <row r="398" ht="15.75" customHeight="1">
      <c r="H398" s="78"/>
      <c r="I398" s="2"/>
    </row>
    <row r="399" ht="15.75" customHeight="1">
      <c r="H399" s="78"/>
      <c r="I399" s="2"/>
    </row>
    <row r="400" ht="15.75" customHeight="1">
      <c r="H400" s="78"/>
      <c r="I400" s="2"/>
    </row>
    <row r="401" ht="15.75" customHeight="1">
      <c r="H401" s="78"/>
      <c r="I401" s="2"/>
    </row>
    <row r="402" ht="15.75" customHeight="1">
      <c r="H402" s="78"/>
      <c r="I402" s="2"/>
    </row>
    <row r="403" ht="15.75" customHeight="1">
      <c r="H403" s="78"/>
      <c r="I403" s="2"/>
    </row>
    <row r="404" ht="15.75" customHeight="1">
      <c r="H404" s="78"/>
      <c r="I404" s="2"/>
    </row>
    <row r="405" ht="15.75" customHeight="1">
      <c r="H405" s="78"/>
      <c r="I405" s="2"/>
    </row>
    <row r="406" ht="15.75" customHeight="1">
      <c r="H406" s="78"/>
      <c r="I406" s="2"/>
    </row>
    <row r="407" ht="15.75" customHeight="1">
      <c r="H407" s="78"/>
      <c r="I407" s="2"/>
    </row>
    <row r="408" ht="15.75" customHeight="1">
      <c r="H408" s="78"/>
      <c r="I408" s="2"/>
    </row>
    <row r="409" ht="15.75" customHeight="1">
      <c r="H409" s="78"/>
      <c r="I409" s="2"/>
    </row>
    <row r="410" ht="15.75" customHeight="1">
      <c r="H410" s="78"/>
      <c r="I410" s="2"/>
    </row>
    <row r="411" ht="15.75" customHeight="1">
      <c r="H411" s="78"/>
      <c r="I411" s="2"/>
    </row>
    <row r="412" ht="15.75" customHeight="1">
      <c r="H412" s="78"/>
      <c r="I412" s="2"/>
    </row>
    <row r="413" ht="15.75" customHeight="1">
      <c r="H413" s="78"/>
      <c r="I413" s="2"/>
    </row>
    <row r="414" ht="15.75" customHeight="1">
      <c r="H414" s="78"/>
      <c r="I414" s="2"/>
    </row>
    <row r="415" ht="15.75" customHeight="1">
      <c r="H415" s="78"/>
      <c r="I415" s="2"/>
    </row>
    <row r="416" ht="15.75" customHeight="1">
      <c r="H416" s="78"/>
      <c r="I416" s="2"/>
    </row>
    <row r="417" ht="15.75" customHeight="1">
      <c r="H417" s="78"/>
      <c r="I417" s="2"/>
    </row>
    <row r="418" ht="15.75" customHeight="1">
      <c r="H418" s="78"/>
      <c r="I418" s="2"/>
    </row>
    <row r="419" ht="15.75" customHeight="1">
      <c r="H419" s="78"/>
      <c r="I419" s="2"/>
    </row>
    <row r="420" ht="15.75" customHeight="1">
      <c r="H420" s="78"/>
      <c r="I420" s="2"/>
    </row>
    <row r="421" ht="15.75" customHeight="1">
      <c r="H421" s="78"/>
      <c r="I421" s="2"/>
    </row>
    <row r="422" ht="15.75" customHeight="1">
      <c r="H422" s="78"/>
      <c r="I422" s="2"/>
    </row>
    <row r="423" ht="15.75" customHeight="1">
      <c r="H423" s="78"/>
      <c r="I423" s="2"/>
    </row>
    <row r="424" ht="15.75" customHeight="1">
      <c r="H424" s="78"/>
      <c r="I424" s="2"/>
    </row>
    <row r="425" ht="15.75" customHeight="1">
      <c r="H425" s="78"/>
      <c r="I425" s="2"/>
    </row>
    <row r="426" ht="15.75" customHeight="1">
      <c r="H426" s="78"/>
      <c r="I426" s="2"/>
    </row>
    <row r="427" ht="15.75" customHeight="1">
      <c r="H427" s="78"/>
      <c r="I427" s="2"/>
    </row>
    <row r="428" ht="15.75" customHeight="1">
      <c r="H428" s="78"/>
      <c r="I428" s="2"/>
    </row>
    <row r="429" ht="15.75" customHeight="1">
      <c r="H429" s="78"/>
      <c r="I429" s="2"/>
    </row>
    <row r="430" ht="15.75" customHeight="1">
      <c r="H430" s="78"/>
      <c r="I430" s="2"/>
    </row>
    <row r="431" ht="15.75" customHeight="1">
      <c r="H431" s="78"/>
      <c r="I431" s="2"/>
    </row>
    <row r="432" ht="15.75" customHeight="1">
      <c r="H432" s="78"/>
      <c r="I432" s="2"/>
    </row>
    <row r="433" ht="15.75" customHeight="1">
      <c r="H433" s="78"/>
      <c r="I433" s="2"/>
    </row>
    <row r="434" ht="15.75" customHeight="1">
      <c r="H434" s="78"/>
      <c r="I434" s="2"/>
    </row>
    <row r="435" ht="15.75" customHeight="1">
      <c r="H435" s="78"/>
      <c r="I435" s="2"/>
    </row>
    <row r="436" ht="15.75" customHeight="1">
      <c r="H436" s="78"/>
      <c r="I436" s="2"/>
    </row>
    <row r="437" ht="15.75" customHeight="1">
      <c r="H437" s="78"/>
      <c r="I437" s="2"/>
    </row>
    <row r="438" ht="15.75" customHeight="1">
      <c r="H438" s="78"/>
      <c r="I438" s="2"/>
    </row>
    <row r="439" ht="15.75" customHeight="1">
      <c r="H439" s="78"/>
      <c r="I439" s="2"/>
    </row>
    <row r="440" ht="15.75" customHeight="1">
      <c r="H440" s="78"/>
      <c r="I440" s="2"/>
    </row>
    <row r="441" ht="15.75" customHeight="1">
      <c r="H441" s="78"/>
      <c r="I441" s="2"/>
    </row>
    <row r="442" ht="15.75" customHeight="1">
      <c r="H442" s="78"/>
      <c r="I442" s="2"/>
    </row>
    <row r="443" ht="15.75" customHeight="1">
      <c r="H443" s="78"/>
      <c r="I443" s="2"/>
    </row>
    <row r="444" ht="15.75" customHeight="1">
      <c r="H444" s="78"/>
      <c r="I444" s="2"/>
    </row>
    <row r="445" ht="15.75" customHeight="1">
      <c r="H445" s="78"/>
      <c r="I445" s="2"/>
    </row>
    <row r="446" ht="15.75" customHeight="1">
      <c r="H446" s="78"/>
      <c r="I446" s="2"/>
    </row>
    <row r="447" ht="15.75" customHeight="1">
      <c r="H447" s="78"/>
      <c r="I447" s="2"/>
    </row>
    <row r="448" ht="15.75" customHeight="1">
      <c r="H448" s="78"/>
      <c r="I448" s="2"/>
    </row>
    <row r="449" ht="15.75" customHeight="1">
      <c r="H449" s="78"/>
      <c r="I449" s="2"/>
    </row>
    <row r="450" ht="15.75" customHeight="1">
      <c r="H450" s="78"/>
      <c r="I450" s="2"/>
    </row>
    <row r="451" ht="15.75" customHeight="1">
      <c r="H451" s="78"/>
      <c r="I451" s="2"/>
    </row>
    <row r="452" ht="15.75" customHeight="1">
      <c r="H452" s="78"/>
      <c r="I452" s="2"/>
    </row>
    <row r="453" ht="15.75" customHeight="1">
      <c r="H453" s="78"/>
      <c r="I453" s="2"/>
    </row>
    <row r="454" ht="15.75" customHeight="1">
      <c r="H454" s="78"/>
      <c r="I454" s="2"/>
    </row>
    <row r="455" ht="15.75" customHeight="1">
      <c r="H455" s="78"/>
      <c r="I455" s="2"/>
    </row>
    <row r="456" ht="15.75" customHeight="1">
      <c r="H456" s="78"/>
      <c r="I456" s="2"/>
    </row>
    <row r="457" ht="15.75" customHeight="1">
      <c r="H457" s="78"/>
      <c r="I457" s="2"/>
    </row>
    <row r="458" ht="15.75" customHeight="1">
      <c r="H458" s="78"/>
      <c r="I458" s="2"/>
    </row>
    <row r="459" ht="15.75" customHeight="1">
      <c r="H459" s="78"/>
      <c r="I459" s="2"/>
    </row>
    <row r="460" ht="15.75" customHeight="1">
      <c r="H460" s="78"/>
      <c r="I460" s="2"/>
    </row>
    <row r="461" ht="15.75" customHeight="1">
      <c r="H461" s="78"/>
      <c r="I461" s="2"/>
    </row>
    <row r="462" ht="15.75" customHeight="1">
      <c r="H462" s="78"/>
      <c r="I462" s="2"/>
    </row>
    <row r="463" ht="15.75" customHeight="1">
      <c r="H463" s="78"/>
      <c r="I463" s="2"/>
    </row>
    <row r="464" ht="15.75" customHeight="1">
      <c r="H464" s="78"/>
      <c r="I464" s="2"/>
    </row>
    <row r="465" ht="15.75" customHeight="1">
      <c r="H465" s="78"/>
      <c r="I465" s="2"/>
    </row>
    <row r="466" ht="15.75" customHeight="1">
      <c r="H466" s="78"/>
      <c r="I466" s="2"/>
    </row>
    <row r="467" ht="15.75" customHeight="1">
      <c r="H467" s="78"/>
      <c r="I467" s="2"/>
    </row>
    <row r="468" ht="15.75" customHeight="1">
      <c r="H468" s="78"/>
      <c r="I468" s="2"/>
    </row>
    <row r="469" ht="15.75" customHeight="1">
      <c r="H469" s="78"/>
      <c r="I469" s="2"/>
    </row>
    <row r="470" ht="15.75" customHeight="1">
      <c r="H470" s="78"/>
      <c r="I470" s="2"/>
    </row>
    <row r="471" ht="15.75" customHeight="1">
      <c r="H471" s="78"/>
      <c r="I471" s="2"/>
    </row>
    <row r="472" ht="15.75" customHeight="1">
      <c r="H472" s="78"/>
      <c r="I472" s="2"/>
    </row>
    <row r="473" ht="15.75" customHeight="1">
      <c r="H473" s="78"/>
      <c r="I473" s="2"/>
    </row>
    <row r="474" ht="15.75" customHeight="1">
      <c r="H474" s="78"/>
      <c r="I474" s="2"/>
    </row>
    <row r="475" ht="15.75" customHeight="1">
      <c r="H475" s="78"/>
      <c r="I475" s="2"/>
    </row>
    <row r="476" ht="15.75" customHeight="1">
      <c r="H476" s="78"/>
      <c r="I476" s="2"/>
    </row>
    <row r="477" ht="15.75" customHeight="1">
      <c r="H477" s="78"/>
      <c r="I477" s="2"/>
    </row>
    <row r="478" ht="15.75" customHeight="1">
      <c r="H478" s="78"/>
      <c r="I478" s="2"/>
    </row>
    <row r="479" ht="15.75" customHeight="1">
      <c r="H479" s="78"/>
      <c r="I479" s="2"/>
    </row>
    <row r="480" ht="15.75" customHeight="1">
      <c r="H480" s="78"/>
      <c r="I480" s="2"/>
    </row>
    <row r="481" ht="15.75" customHeight="1">
      <c r="H481" s="78"/>
      <c r="I481" s="2"/>
    </row>
    <row r="482" ht="15.75" customHeight="1">
      <c r="H482" s="78"/>
      <c r="I482" s="2"/>
    </row>
    <row r="483" ht="15.75" customHeight="1">
      <c r="H483" s="78"/>
      <c r="I483" s="2"/>
    </row>
    <row r="484" ht="15.75" customHeight="1">
      <c r="H484" s="78"/>
      <c r="I484" s="2"/>
    </row>
    <row r="485" ht="15.75" customHeight="1">
      <c r="H485" s="78"/>
      <c r="I485" s="2"/>
    </row>
    <row r="486" ht="15.75" customHeight="1">
      <c r="H486" s="78"/>
      <c r="I486" s="2"/>
    </row>
    <row r="487" ht="15.75" customHeight="1">
      <c r="H487" s="78"/>
      <c r="I487" s="2"/>
    </row>
    <row r="488" ht="15.75" customHeight="1">
      <c r="H488" s="78"/>
      <c r="I488" s="2"/>
    </row>
    <row r="489" ht="15.75" customHeight="1">
      <c r="H489" s="78"/>
      <c r="I489" s="2"/>
    </row>
    <row r="490" ht="15.75" customHeight="1">
      <c r="H490" s="78"/>
      <c r="I490" s="2"/>
    </row>
    <row r="491" ht="15.75" customHeight="1">
      <c r="H491" s="78"/>
      <c r="I491" s="2"/>
    </row>
    <row r="492" ht="15.75" customHeight="1">
      <c r="H492" s="78"/>
      <c r="I492" s="2"/>
    </row>
    <row r="493" ht="15.75" customHeight="1">
      <c r="H493" s="78"/>
      <c r="I493" s="2"/>
    </row>
    <row r="494" ht="15.75" customHeight="1">
      <c r="H494" s="78"/>
      <c r="I494" s="2"/>
    </row>
    <row r="495" ht="15.75" customHeight="1">
      <c r="H495" s="78"/>
      <c r="I495" s="2"/>
    </row>
    <row r="496" ht="15.75" customHeight="1">
      <c r="H496" s="78"/>
      <c r="I496" s="2"/>
    </row>
    <row r="497" ht="15.75" customHeight="1">
      <c r="H497" s="78"/>
      <c r="I497" s="2"/>
    </row>
    <row r="498" ht="15.75" customHeight="1">
      <c r="H498" s="78"/>
      <c r="I498" s="2"/>
    </row>
    <row r="499" ht="15.75" customHeight="1">
      <c r="H499" s="78"/>
      <c r="I499" s="2"/>
    </row>
    <row r="500" ht="15.75" customHeight="1">
      <c r="H500" s="78"/>
      <c r="I500" s="2"/>
    </row>
    <row r="501" ht="15.75" customHeight="1">
      <c r="H501" s="78"/>
      <c r="I501" s="2"/>
    </row>
    <row r="502" ht="15.75" customHeight="1">
      <c r="H502" s="78"/>
      <c r="I502" s="2"/>
    </row>
    <row r="503" ht="15.75" customHeight="1">
      <c r="H503" s="78"/>
      <c r="I503" s="2"/>
    </row>
    <row r="504" ht="15.75" customHeight="1">
      <c r="H504" s="78"/>
      <c r="I504" s="2"/>
    </row>
    <row r="505" ht="15.75" customHeight="1">
      <c r="H505" s="78"/>
      <c r="I505" s="2"/>
    </row>
    <row r="506" ht="15.75" customHeight="1">
      <c r="H506" s="78"/>
      <c r="I506" s="2"/>
    </row>
    <row r="507" ht="15.75" customHeight="1">
      <c r="H507" s="78"/>
      <c r="I507" s="2"/>
    </row>
    <row r="508" ht="15.75" customHeight="1">
      <c r="H508" s="78"/>
      <c r="I508" s="2"/>
    </row>
    <row r="509" ht="15.75" customHeight="1">
      <c r="H509" s="78"/>
      <c r="I509" s="2"/>
    </row>
    <row r="510" ht="15.75" customHeight="1">
      <c r="H510" s="78"/>
      <c r="I510" s="2"/>
    </row>
    <row r="511" ht="15.75" customHeight="1">
      <c r="H511" s="78"/>
      <c r="I511" s="2"/>
    </row>
    <row r="512" ht="15.75" customHeight="1">
      <c r="H512" s="78"/>
      <c r="I512" s="2"/>
    </row>
    <row r="513" ht="15.75" customHeight="1">
      <c r="H513" s="78"/>
      <c r="I513" s="2"/>
    </row>
    <row r="514" ht="15.75" customHeight="1">
      <c r="H514" s="78"/>
      <c r="I514" s="2"/>
    </row>
    <row r="515" ht="15.75" customHeight="1">
      <c r="H515" s="78"/>
      <c r="I515" s="2"/>
    </row>
    <row r="516" ht="15.75" customHeight="1">
      <c r="H516" s="78"/>
      <c r="I516" s="2"/>
    </row>
    <row r="517" ht="15.75" customHeight="1">
      <c r="H517" s="78"/>
      <c r="I517" s="2"/>
    </row>
    <row r="518" ht="15.75" customHeight="1">
      <c r="H518" s="78"/>
      <c r="I518" s="2"/>
    </row>
    <row r="519" ht="15.75" customHeight="1">
      <c r="H519" s="78"/>
      <c r="I519" s="2"/>
    </row>
    <row r="520" ht="15.75" customHeight="1">
      <c r="H520" s="78"/>
      <c r="I520" s="2"/>
    </row>
    <row r="521" ht="15.75" customHeight="1">
      <c r="H521" s="78"/>
      <c r="I521" s="2"/>
    </row>
    <row r="522" ht="15.75" customHeight="1">
      <c r="H522" s="78"/>
      <c r="I522" s="2"/>
    </row>
    <row r="523" ht="15.75" customHeight="1">
      <c r="H523" s="78"/>
      <c r="I523" s="2"/>
    </row>
    <row r="524" ht="15.75" customHeight="1">
      <c r="H524" s="78"/>
      <c r="I524" s="2"/>
    </row>
    <row r="525" ht="15.75" customHeight="1">
      <c r="H525" s="78"/>
      <c r="I525" s="2"/>
    </row>
    <row r="526" ht="15.75" customHeight="1">
      <c r="H526" s="78"/>
      <c r="I526" s="2"/>
    </row>
    <row r="527" ht="15.75" customHeight="1">
      <c r="H527" s="78"/>
      <c r="I527" s="2"/>
    </row>
    <row r="528" ht="15.75" customHeight="1">
      <c r="H528" s="78"/>
      <c r="I528" s="2"/>
    </row>
    <row r="529" ht="15.75" customHeight="1">
      <c r="H529" s="78"/>
      <c r="I529" s="2"/>
    </row>
    <row r="530" ht="15.75" customHeight="1">
      <c r="H530" s="78"/>
      <c r="I530" s="2"/>
    </row>
    <row r="531" ht="15.75" customHeight="1">
      <c r="H531" s="78"/>
      <c r="I531" s="2"/>
    </row>
    <row r="532" ht="15.75" customHeight="1">
      <c r="H532" s="78"/>
      <c r="I532" s="2"/>
    </row>
    <row r="533" ht="15.75" customHeight="1">
      <c r="H533" s="78"/>
      <c r="I533" s="2"/>
    </row>
    <row r="534" ht="15.75" customHeight="1">
      <c r="H534" s="78"/>
      <c r="I534" s="2"/>
    </row>
    <row r="535" ht="15.75" customHeight="1">
      <c r="H535" s="78"/>
      <c r="I535" s="2"/>
    </row>
    <row r="536" ht="15.75" customHeight="1">
      <c r="H536" s="78"/>
      <c r="I536" s="2"/>
    </row>
    <row r="537" ht="15.75" customHeight="1">
      <c r="H537" s="78"/>
      <c r="I537" s="2"/>
    </row>
    <row r="538" ht="15.75" customHeight="1">
      <c r="H538" s="78"/>
      <c r="I538" s="2"/>
    </row>
    <row r="539" ht="15.75" customHeight="1">
      <c r="H539" s="78"/>
      <c r="I539" s="2"/>
    </row>
    <row r="540" ht="15.75" customHeight="1">
      <c r="H540" s="78"/>
      <c r="I540" s="2"/>
    </row>
    <row r="541" ht="15.75" customHeight="1">
      <c r="H541" s="78"/>
      <c r="I541" s="2"/>
    </row>
    <row r="542" ht="15.75" customHeight="1">
      <c r="H542" s="78"/>
      <c r="I542" s="2"/>
    </row>
    <row r="543" ht="15.75" customHeight="1">
      <c r="H543" s="78"/>
      <c r="I543" s="2"/>
    </row>
    <row r="544" ht="15.75" customHeight="1">
      <c r="H544" s="78"/>
      <c r="I544" s="2"/>
    </row>
    <row r="545" ht="15.75" customHeight="1">
      <c r="H545" s="78"/>
      <c r="I545" s="2"/>
    </row>
    <row r="546" ht="15.75" customHeight="1">
      <c r="H546" s="78"/>
      <c r="I546" s="2"/>
    </row>
    <row r="547" ht="15.75" customHeight="1">
      <c r="H547" s="78"/>
      <c r="I547" s="2"/>
    </row>
    <row r="548" ht="15.75" customHeight="1">
      <c r="H548" s="78"/>
      <c r="I548" s="2"/>
    </row>
    <row r="549" ht="15.75" customHeight="1">
      <c r="H549" s="78"/>
      <c r="I549" s="2"/>
    </row>
    <row r="550" ht="15.75" customHeight="1">
      <c r="H550" s="78"/>
      <c r="I550" s="2"/>
    </row>
    <row r="551" ht="15.75" customHeight="1">
      <c r="H551" s="78"/>
      <c r="I551" s="2"/>
    </row>
    <row r="552" ht="15.75" customHeight="1">
      <c r="H552" s="78"/>
      <c r="I552" s="2"/>
    </row>
    <row r="553" ht="15.75" customHeight="1">
      <c r="H553" s="78"/>
      <c r="I553" s="2"/>
    </row>
    <row r="554" ht="15.75" customHeight="1">
      <c r="H554" s="78"/>
      <c r="I554" s="2"/>
    </row>
    <row r="555" ht="15.75" customHeight="1">
      <c r="H555" s="78"/>
      <c r="I555" s="2"/>
    </row>
    <row r="556" ht="15.75" customHeight="1">
      <c r="H556" s="78"/>
      <c r="I556" s="2"/>
    </row>
    <row r="557" ht="15.75" customHeight="1">
      <c r="H557" s="78"/>
      <c r="I557" s="2"/>
    </row>
    <row r="558" ht="15.75" customHeight="1">
      <c r="H558" s="78"/>
      <c r="I558" s="2"/>
    </row>
    <row r="559" ht="15.75" customHeight="1">
      <c r="H559" s="78"/>
      <c r="I559" s="2"/>
    </row>
    <row r="560" ht="15.75" customHeight="1">
      <c r="H560" s="78"/>
      <c r="I560" s="2"/>
    </row>
    <row r="561" ht="15.75" customHeight="1">
      <c r="H561" s="78"/>
      <c r="I561" s="2"/>
    </row>
    <row r="562" ht="15.75" customHeight="1">
      <c r="H562" s="78"/>
      <c r="I562" s="2"/>
    </row>
    <row r="563" ht="15.75" customHeight="1">
      <c r="H563" s="78"/>
      <c r="I563" s="2"/>
    </row>
    <row r="564" ht="15.75" customHeight="1">
      <c r="H564" s="78"/>
      <c r="I564" s="2"/>
    </row>
    <row r="565" ht="15.75" customHeight="1">
      <c r="H565" s="78"/>
      <c r="I565" s="2"/>
    </row>
    <row r="566" ht="15.75" customHeight="1">
      <c r="H566" s="78"/>
      <c r="I566" s="2"/>
    </row>
    <row r="567" ht="15.75" customHeight="1">
      <c r="H567" s="78"/>
      <c r="I567" s="2"/>
    </row>
    <row r="568" ht="15.75" customHeight="1">
      <c r="H568" s="78"/>
      <c r="I568" s="2"/>
    </row>
    <row r="569" ht="15.75" customHeight="1">
      <c r="H569" s="78"/>
      <c r="I569" s="2"/>
    </row>
    <row r="570" ht="15.75" customHeight="1">
      <c r="H570" s="78"/>
      <c r="I570" s="2"/>
    </row>
    <row r="571" ht="15.75" customHeight="1">
      <c r="H571" s="78"/>
      <c r="I571" s="2"/>
    </row>
    <row r="572" ht="15.75" customHeight="1">
      <c r="H572" s="78"/>
      <c r="I572" s="2"/>
    </row>
    <row r="573" ht="15.75" customHeight="1">
      <c r="H573" s="78"/>
      <c r="I573" s="2"/>
    </row>
    <row r="574" ht="15.75" customHeight="1">
      <c r="H574" s="78"/>
      <c r="I574" s="2"/>
    </row>
    <row r="575" ht="15.75" customHeight="1">
      <c r="H575" s="78"/>
      <c r="I575" s="2"/>
    </row>
    <row r="576" ht="15.75" customHeight="1">
      <c r="H576" s="78"/>
      <c r="I576" s="2"/>
    </row>
    <row r="577" ht="15.75" customHeight="1">
      <c r="H577" s="78"/>
      <c r="I577" s="2"/>
    </row>
    <row r="578" ht="15.75" customHeight="1">
      <c r="H578" s="78"/>
      <c r="I578" s="2"/>
    </row>
    <row r="579" ht="15.75" customHeight="1">
      <c r="H579" s="78"/>
      <c r="I579" s="2"/>
    </row>
    <row r="580" ht="15.75" customHeight="1">
      <c r="H580" s="78"/>
      <c r="I580" s="2"/>
    </row>
    <row r="581" ht="15.75" customHeight="1">
      <c r="H581" s="78"/>
      <c r="I581" s="2"/>
    </row>
    <row r="582" ht="15.75" customHeight="1">
      <c r="H582" s="78"/>
      <c r="I582" s="2"/>
    </row>
    <row r="583" ht="15.75" customHeight="1">
      <c r="H583" s="78"/>
      <c r="I583" s="2"/>
    </row>
    <row r="584" ht="15.75" customHeight="1">
      <c r="H584" s="78"/>
      <c r="I584" s="2"/>
    </row>
    <row r="585" ht="15.75" customHeight="1">
      <c r="H585" s="78"/>
      <c r="I585" s="2"/>
    </row>
    <row r="586" ht="15.75" customHeight="1">
      <c r="H586" s="78"/>
      <c r="I586" s="2"/>
    </row>
    <row r="587" ht="15.75" customHeight="1">
      <c r="H587" s="78"/>
      <c r="I587" s="2"/>
    </row>
    <row r="588" ht="15.75" customHeight="1">
      <c r="H588" s="78"/>
      <c r="I588" s="2"/>
    </row>
    <row r="589" ht="15.75" customHeight="1">
      <c r="H589" s="78"/>
      <c r="I589" s="2"/>
    </row>
    <row r="590" ht="15.75" customHeight="1">
      <c r="H590" s="78"/>
      <c r="I590" s="2"/>
    </row>
    <row r="591" ht="15.75" customHeight="1">
      <c r="H591" s="78"/>
      <c r="I591" s="2"/>
    </row>
    <row r="592" ht="15.75" customHeight="1">
      <c r="H592" s="78"/>
      <c r="I592" s="2"/>
    </row>
    <row r="593" ht="15.75" customHeight="1">
      <c r="H593" s="78"/>
      <c r="I593" s="2"/>
    </row>
    <row r="594" ht="15.75" customHeight="1">
      <c r="H594" s="78"/>
      <c r="I594" s="2"/>
    </row>
    <row r="595" ht="15.75" customHeight="1">
      <c r="H595" s="78"/>
      <c r="I595" s="2"/>
    </row>
    <row r="596" ht="15.75" customHeight="1">
      <c r="H596" s="78"/>
      <c r="I596" s="2"/>
    </row>
    <row r="597" ht="15.75" customHeight="1">
      <c r="H597" s="78"/>
      <c r="I597" s="2"/>
    </row>
    <row r="598" ht="15.75" customHeight="1">
      <c r="H598" s="78"/>
      <c r="I598" s="2"/>
    </row>
    <row r="599" ht="15.75" customHeight="1">
      <c r="H599" s="78"/>
      <c r="I599" s="2"/>
    </row>
    <row r="600" ht="15.75" customHeight="1">
      <c r="H600" s="78"/>
      <c r="I600" s="2"/>
    </row>
    <row r="601" ht="15.75" customHeight="1">
      <c r="H601" s="78"/>
      <c r="I601" s="2"/>
    </row>
    <row r="602" ht="15.75" customHeight="1">
      <c r="H602" s="78"/>
      <c r="I602" s="2"/>
    </row>
    <row r="603" ht="15.75" customHeight="1">
      <c r="H603" s="78"/>
      <c r="I603" s="2"/>
    </row>
    <row r="604" ht="15.75" customHeight="1">
      <c r="H604" s="78"/>
      <c r="I604" s="2"/>
    </row>
    <row r="605" ht="15.75" customHeight="1">
      <c r="H605" s="78"/>
      <c r="I605" s="2"/>
    </row>
    <row r="606" ht="15.75" customHeight="1">
      <c r="H606" s="78"/>
      <c r="I606" s="2"/>
    </row>
    <row r="607" ht="15.75" customHeight="1">
      <c r="H607" s="78"/>
      <c r="I607" s="2"/>
    </row>
    <row r="608" ht="15.75" customHeight="1">
      <c r="H608" s="78"/>
      <c r="I608" s="2"/>
    </row>
    <row r="609" ht="15.75" customHeight="1">
      <c r="H609" s="78"/>
      <c r="I609" s="2"/>
    </row>
    <row r="610" ht="15.75" customHeight="1">
      <c r="H610" s="78"/>
      <c r="I610" s="2"/>
    </row>
    <row r="611" ht="15.75" customHeight="1">
      <c r="H611" s="78"/>
      <c r="I611" s="2"/>
    </row>
    <row r="612" ht="15.75" customHeight="1">
      <c r="H612" s="78"/>
      <c r="I612" s="2"/>
    </row>
    <row r="613" ht="15.75" customHeight="1">
      <c r="H613" s="78"/>
      <c r="I613" s="2"/>
    </row>
    <row r="614" ht="15.75" customHeight="1">
      <c r="H614" s="78"/>
      <c r="I614" s="2"/>
    </row>
    <row r="615" ht="15.75" customHeight="1">
      <c r="H615" s="78"/>
      <c r="I615" s="2"/>
    </row>
    <row r="616" ht="15.75" customHeight="1">
      <c r="H616" s="78"/>
      <c r="I616" s="2"/>
    </row>
    <row r="617" ht="15.75" customHeight="1">
      <c r="H617" s="78"/>
      <c r="I617" s="2"/>
    </row>
    <row r="618" ht="15.75" customHeight="1">
      <c r="H618" s="78"/>
      <c r="I618" s="2"/>
    </row>
    <row r="619" ht="15.75" customHeight="1">
      <c r="H619" s="78"/>
      <c r="I619" s="2"/>
    </row>
    <row r="620" ht="15.75" customHeight="1">
      <c r="H620" s="78"/>
      <c r="I620" s="2"/>
    </row>
    <row r="621" ht="15.75" customHeight="1">
      <c r="H621" s="78"/>
      <c r="I621" s="2"/>
    </row>
    <row r="622" ht="15.75" customHeight="1">
      <c r="H622" s="78"/>
      <c r="I622" s="2"/>
    </row>
    <row r="623" ht="15.75" customHeight="1">
      <c r="H623" s="78"/>
      <c r="I623" s="2"/>
    </row>
    <row r="624" ht="15.75" customHeight="1">
      <c r="H624" s="78"/>
      <c r="I624" s="2"/>
    </row>
    <row r="625" ht="15.75" customHeight="1">
      <c r="H625" s="78"/>
      <c r="I625" s="2"/>
    </row>
    <row r="626" ht="15.75" customHeight="1">
      <c r="H626" s="78"/>
      <c r="I626" s="2"/>
    </row>
    <row r="627" ht="15.75" customHeight="1">
      <c r="H627" s="78"/>
      <c r="I627" s="2"/>
    </row>
    <row r="628" ht="15.75" customHeight="1">
      <c r="H628" s="78"/>
      <c r="I628" s="2"/>
    </row>
    <row r="629" ht="15.75" customHeight="1">
      <c r="H629" s="78"/>
      <c r="I629" s="2"/>
    </row>
    <row r="630" ht="15.75" customHeight="1">
      <c r="H630" s="78"/>
      <c r="I630" s="2"/>
    </row>
    <row r="631" ht="15.75" customHeight="1">
      <c r="H631" s="78"/>
      <c r="I631" s="2"/>
    </row>
    <row r="632" ht="15.75" customHeight="1">
      <c r="H632" s="78"/>
      <c r="I632" s="2"/>
    </row>
    <row r="633" ht="15.75" customHeight="1">
      <c r="H633" s="78"/>
      <c r="I633" s="2"/>
    </row>
    <row r="634" ht="15.75" customHeight="1">
      <c r="H634" s="78"/>
      <c r="I634" s="2"/>
    </row>
    <row r="635" ht="15.75" customHeight="1">
      <c r="H635" s="78"/>
      <c r="I635" s="2"/>
    </row>
    <row r="636" ht="15.75" customHeight="1">
      <c r="H636" s="78"/>
      <c r="I636" s="2"/>
    </row>
    <row r="637" ht="15.75" customHeight="1">
      <c r="H637" s="78"/>
      <c r="I637" s="2"/>
    </row>
    <row r="638" ht="15.75" customHeight="1">
      <c r="H638" s="78"/>
      <c r="I638" s="2"/>
    </row>
    <row r="639" ht="15.75" customHeight="1">
      <c r="H639" s="78"/>
      <c r="I639" s="2"/>
    </row>
    <row r="640" ht="15.75" customHeight="1">
      <c r="H640" s="78"/>
      <c r="I640" s="2"/>
    </row>
    <row r="641" ht="15.75" customHeight="1">
      <c r="H641" s="78"/>
      <c r="I641" s="2"/>
    </row>
    <row r="642" ht="15.75" customHeight="1">
      <c r="H642" s="78"/>
      <c r="I642" s="2"/>
    </row>
    <row r="643" ht="15.75" customHeight="1">
      <c r="H643" s="78"/>
      <c r="I643" s="2"/>
    </row>
    <row r="644" ht="15.75" customHeight="1">
      <c r="H644" s="78"/>
      <c r="I644" s="2"/>
    </row>
    <row r="645" ht="15.75" customHeight="1">
      <c r="H645" s="78"/>
      <c r="I645" s="2"/>
    </row>
    <row r="646" ht="15.75" customHeight="1">
      <c r="H646" s="78"/>
      <c r="I646" s="2"/>
    </row>
    <row r="647" ht="15.75" customHeight="1">
      <c r="H647" s="78"/>
      <c r="I647" s="2"/>
    </row>
    <row r="648" ht="15.75" customHeight="1">
      <c r="H648" s="78"/>
      <c r="I648" s="2"/>
    </row>
    <row r="649" ht="15.75" customHeight="1">
      <c r="H649" s="78"/>
      <c r="I649" s="2"/>
    </row>
    <row r="650" ht="15.75" customHeight="1">
      <c r="H650" s="78"/>
      <c r="I650" s="2"/>
    </row>
    <row r="651" ht="15.75" customHeight="1">
      <c r="H651" s="78"/>
      <c r="I651" s="2"/>
    </row>
    <row r="652" ht="15.75" customHeight="1">
      <c r="H652" s="78"/>
      <c r="I652" s="2"/>
    </row>
    <row r="653" ht="15.75" customHeight="1">
      <c r="H653" s="78"/>
      <c r="I653" s="2"/>
    </row>
    <row r="654" ht="15.75" customHeight="1">
      <c r="H654" s="78"/>
      <c r="I654" s="2"/>
    </row>
    <row r="655" ht="15.75" customHeight="1">
      <c r="H655" s="78"/>
      <c r="I655" s="2"/>
    </row>
    <row r="656" ht="15.75" customHeight="1">
      <c r="H656" s="78"/>
      <c r="I656" s="2"/>
    </row>
    <row r="657" ht="15.75" customHeight="1">
      <c r="H657" s="78"/>
      <c r="I657" s="2"/>
    </row>
    <row r="658" ht="15.75" customHeight="1">
      <c r="H658" s="78"/>
      <c r="I658" s="2"/>
    </row>
    <row r="659" ht="15.75" customHeight="1">
      <c r="H659" s="78"/>
      <c r="I659" s="2"/>
    </row>
    <row r="660" ht="15.75" customHeight="1">
      <c r="H660" s="78"/>
      <c r="I660" s="2"/>
    </row>
    <row r="661" ht="15.75" customHeight="1">
      <c r="H661" s="78"/>
      <c r="I661" s="2"/>
    </row>
    <row r="662" ht="15.75" customHeight="1">
      <c r="H662" s="78"/>
      <c r="I662" s="2"/>
    </row>
    <row r="663" ht="15.75" customHeight="1">
      <c r="H663" s="78"/>
      <c r="I663" s="2"/>
    </row>
    <row r="664" ht="15.75" customHeight="1">
      <c r="H664" s="78"/>
      <c r="I664" s="2"/>
    </row>
    <row r="665" ht="15.75" customHeight="1">
      <c r="H665" s="78"/>
      <c r="I665" s="2"/>
    </row>
    <row r="666" ht="15.75" customHeight="1">
      <c r="H666" s="78"/>
      <c r="I666" s="2"/>
    </row>
    <row r="667" ht="15.75" customHeight="1">
      <c r="H667" s="78"/>
      <c r="I667" s="2"/>
    </row>
    <row r="668" ht="15.75" customHeight="1">
      <c r="H668" s="78"/>
      <c r="I668" s="2"/>
    </row>
    <row r="669" ht="15.75" customHeight="1">
      <c r="H669" s="78"/>
      <c r="I669" s="2"/>
    </row>
    <row r="670" ht="15.75" customHeight="1">
      <c r="H670" s="78"/>
      <c r="I670" s="2"/>
    </row>
    <row r="671" ht="15.75" customHeight="1">
      <c r="H671" s="78"/>
      <c r="I671" s="2"/>
    </row>
    <row r="672" ht="15.75" customHeight="1">
      <c r="H672" s="78"/>
      <c r="I672" s="2"/>
    </row>
    <row r="673" ht="15.75" customHeight="1">
      <c r="H673" s="78"/>
      <c r="I673" s="2"/>
    </row>
    <row r="674" ht="15.75" customHeight="1">
      <c r="H674" s="78"/>
      <c r="I674" s="2"/>
    </row>
    <row r="675" ht="15.75" customHeight="1">
      <c r="H675" s="78"/>
      <c r="I675" s="2"/>
    </row>
    <row r="676" ht="15.75" customHeight="1">
      <c r="H676" s="78"/>
      <c r="I676" s="2"/>
    </row>
    <row r="677" ht="15.75" customHeight="1">
      <c r="H677" s="78"/>
      <c r="I677" s="2"/>
    </row>
    <row r="678" ht="15.75" customHeight="1">
      <c r="H678" s="78"/>
      <c r="I678" s="2"/>
    </row>
    <row r="679" ht="15.75" customHeight="1">
      <c r="H679" s="78"/>
      <c r="I679" s="2"/>
    </row>
    <row r="680" ht="15.75" customHeight="1">
      <c r="H680" s="78"/>
      <c r="I680" s="2"/>
    </row>
    <row r="681" ht="15.75" customHeight="1">
      <c r="H681" s="78"/>
      <c r="I681" s="2"/>
    </row>
    <row r="682" ht="15.75" customHeight="1">
      <c r="H682" s="78"/>
      <c r="I682" s="2"/>
    </row>
    <row r="683" ht="15.75" customHeight="1">
      <c r="H683" s="78"/>
      <c r="I683" s="2"/>
    </row>
    <row r="684" ht="15.75" customHeight="1">
      <c r="H684" s="78"/>
      <c r="I684" s="2"/>
    </row>
    <row r="685" ht="15.75" customHeight="1">
      <c r="H685" s="78"/>
      <c r="I685" s="2"/>
    </row>
    <row r="686" ht="15.75" customHeight="1">
      <c r="H686" s="78"/>
      <c r="I686" s="2"/>
    </row>
    <row r="687" ht="15.75" customHeight="1">
      <c r="H687" s="78"/>
      <c r="I687" s="2"/>
    </row>
    <row r="688" ht="15.75" customHeight="1">
      <c r="H688" s="78"/>
      <c r="I688" s="2"/>
    </row>
    <row r="689" ht="15.75" customHeight="1">
      <c r="H689" s="78"/>
      <c r="I689" s="2"/>
    </row>
    <row r="690" ht="15.75" customHeight="1">
      <c r="H690" s="78"/>
      <c r="I690" s="2"/>
    </row>
    <row r="691" ht="15.75" customHeight="1">
      <c r="H691" s="78"/>
      <c r="I691" s="2"/>
    </row>
    <row r="692" ht="15.75" customHeight="1">
      <c r="H692" s="78"/>
      <c r="I692" s="2"/>
    </row>
    <row r="693" ht="15.75" customHeight="1">
      <c r="H693" s="78"/>
      <c r="I693" s="2"/>
    </row>
    <row r="694" ht="15.75" customHeight="1">
      <c r="H694" s="78"/>
      <c r="I694" s="2"/>
    </row>
    <row r="695" ht="15.75" customHeight="1">
      <c r="H695" s="78"/>
      <c r="I695" s="2"/>
    </row>
    <row r="696" ht="15.75" customHeight="1">
      <c r="H696" s="78"/>
      <c r="I696" s="2"/>
    </row>
    <row r="697" ht="15.75" customHeight="1">
      <c r="H697" s="78"/>
      <c r="I697" s="2"/>
    </row>
    <row r="698" ht="15.75" customHeight="1">
      <c r="H698" s="78"/>
      <c r="I698" s="2"/>
    </row>
    <row r="699" ht="15.75" customHeight="1">
      <c r="H699" s="78"/>
      <c r="I699" s="2"/>
    </row>
    <row r="700" ht="15.75" customHeight="1">
      <c r="H700" s="78"/>
      <c r="I700" s="2"/>
    </row>
    <row r="701" ht="15.75" customHeight="1">
      <c r="H701" s="78"/>
      <c r="I701" s="2"/>
    </row>
    <row r="702" ht="15.75" customHeight="1">
      <c r="H702" s="78"/>
      <c r="I702" s="2"/>
    </row>
    <row r="703" ht="15.75" customHeight="1">
      <c r="H703" s="78"/>
      <c r="I703" s="2"/>
    </row>
    <row r="704" ht="15.75" customHeight="1">
      <c r="H704" s="78"/>
      <c r="I704" s="2"/>
    </row>
    <row r="705" ht="15.75" customHeight="1">
      <c r="H705" s="78"/>
      <c r="I705" s="2"/>
    </row>
    <row r="706" ht="15.75" customHeight="1">
      <c r="H706" s="78"/>
      <c r="I706" s="2"/>
    </row>
    <row r="707" ht="15.75" customHeight="1">
      <c r="H707" s="78"/>
      <c r="I707" s="2"/>
    </row>
    <row r="708" ht="15.75" customHeight="1">
      <c r="H708" s="78"/>
      <c r="I708" s="2"/>
    </row>
    <row r="709" ht="15.75" customHeight="1">
      <c r="H709" s="78"/>
      <c r="I709" s="2"/>
    </row>
    <row r="710" ht="15.75" customHeight="1">
      <c r="H710" s="78"/>
      <c r="I710" s="2"/>
    </row>
    <row r="711" ht="15.75" customHeight="1">
      <c r="H711" s="78"/>
      <c r="I711" s="2"/>
    </row>
    <row r="712" ht="15.75" customHeight="1">
      <c r="H712" s="78"/>
      <c r="I712" s="2"/>
    </row>
    <row r="713" ht="15.75" customHeight="1">
      <c r="H713" s="78"/>
      <c r="I713" s="2"/>
    </row>
    <row r="714" ht="15.75" customHeight="1">
      <c r="H714" s="78"/>
      <c r="I714" s="2"/>
    </row>
    <row r="715" ht="15.75" customHeight="1">
      <c r="H715" s="78"/>
      <c r="I715" s="2"/>
    </row>
    <row r="716" ht="15.75" customHeight="1">
      <c r="H716" s="78"/>
      <c r="I716" s="2"/>
    </row>
    <row r="717" ht="15.75" customHeight="1">
      <c r="H717" s="78"/>
      <c r="I717" s="2"/>
    </row>
    <row r="718" ht="15.75" customHeight="1">
      <c r="H718" s="78"/>
      <c r="I718" s="2"/>
    </row>
    <row r="719" ht="15.75" customHeight="1">
      <c r="H719" s="78"/>
      <c r="I719" s="2"/>
    </row>
    <row r="720" ht="15.75" customHeight="1">
      <c r="H720" s="78"/>
      <c r="I720" s="2"/>
    </row>
    <row r="721" ht="15.75" customHeight="1">
      <c r="H721" s="78"/>
      <c r="I721" s="2"/>
    </row>
    <row r="722" ht="15.75" customHeight="1">
      <c r="H722" s="78"/>
      <c r="I722" s="2"/>
    </row>
    <row r="723" ht="15.75" customHeight="1">
      <c r="H723" s="78"/>
      <c r="I723" s="2"/>
    </row>
    <row r="724" ht="15.75" customHeight="1">
      <c r="H724" s="78"/>
      <c r="I724" s="2"/>
    </row>
    <row r="725" ht="15.75" customHeight="1">
      <c r="H725" s="78"/>
      <c r="I725" s="2"/>
    </row>
    <row r="726" ht="15.75" customHeight="1">
      <c r="H726" s="78"/>
      <c r="I726" s="2"/>
    </row>
    <row r="727" ht="15.75" customHeight="1">
      <c r="H727" s="78"/>
      <c r="I727" s="2"/>
    </row>
    <row r="728" ht="15.75" customHeight="1">
      <c r="H728" s="78"/>
      <c r="I728" s="2"/>
    </row>
    <row r="729" ht="15.75" customHeight="1">
      <c r="H729" s="78"/>
      <c r="I729" s="2"/>
    </row>
    <row r="730" ht="15.75" customHeight="1">
      <c r="H730" s="78"/>
      <c r="I730" s="2"/>
    </row>
    <row r="731" ht="15.75" customHeight="1">
      <c r="H731" s="78"/>
      <c r="I731" s="2"/>
    </row>
    <row r="732" ht="15.75" customHeight="1">
      <c r="H732" s="78"/>
      <c r="I732" s="2"/>
    </row>
    <row r="733" ht="15.75" customHeight="1">
      <c r="H733" s="78"/>
      <c r="I733" s="2"/>
    </row>
    <row r="734" ht="15.75" customHeight="1">
      <c r="H734" s="78"/>
      <c r="I734" s="2"/>
    </row>
    <row r="735" ht="15.75" customHeight="1">
      <c r="H735" s="78"/>
      <c r="I735" s="2"/>
    </row>
    <row r="736" ht="15.75" customHeight="1">
      <c r="H736" s="78"/>
      <c r="I736" s="2"/>
    </row>
    <row r="737" ht="15.75" customHeight="1">
      <c r="H737" s="78"/>
      <c r="I737" s="2"/>
    </row>
    <row r="738" ht="15.75" customHeight="1">
      <c r="H738" s="78"/>
      <c r="I738" s="2"/>
    </row>
    <row r="739" ht="15.75" customHeight="1">
      <c r="H739" s="78"/>
      <c r="I739" s="2"/>
    </row>
    <row r="740" ht="15.75" customHeight="1">
      <c r="H740" s="78"/>
      <c r="I740" s="2"/>
    </row>
    <row r="741" ht="15.75" customHeight="1">
      <c r="H741" s="78"/>
      <c r="I741" s="2"/>
    </row>
    <row r="742" ht="15.75" customHeight="1">
      <c r="H742" s="78"/>
      <c r="I742" s="2"/>
    </row>
    <row r="743" ht="15.75" customHeight="1">
      <c r="H743" s="78"/>
      <c r="I743" s="2"/>
    </row>
    <row r="744" ht="15.75" customHeight="1">
      <c r="H744" s="78"/>
      <c r="I744" s="2"/>
    </row>
    <row r="745" ht="15.75" customHeight="1">
      <c r="H745" s="78"/>
      <c r="I745" s="2"/>
    </row>
    <row r="746" ht="15.75" customHeight="1">
      <c r="H746" s="78"/>
      <c r="I746" s="2"/>
    </row>
    <row r="747" ht="15.75" customHeight="1">
      <c r="H747" s="78"/>
      <c r="I747" s="2"/>
    </row>
    <row r="748" ht="15.75" customHeight="1">
      <c r="H748" s="78"/>
      <c r="I748" s="2"/>
    </row>
    <row r="749" ht="15.75" customHeight="1">
      <c r="H749" s="78"/>
      <c r="I749" s="2"/>
    </row>
    <row r="750" ht="15.75" customHeight="1">
      <c r="H750" s="78"/>
      <c r="I750" s="2"/>
    </row>
    <row r="751" ht="15.75" customHeight="1">
      <c r="H751" s="78"/>
      <c r="I751" s="2"/>
    </row>
    <row r="752" ht="15.75" customHeight="1">
      <c r="H752" s="78"/>
      <c r="I752" s="2"/>
    </row>
    <row r="753" ht="15.75" customHeight="1">
      <c r="H753" s="78"/>
      <c r="I753" s="2"/>
    </row>
    <row r="754" ht="15.75" customHeight="1">
      <c r="H754" s="78"/>
      <c r="I754" s="2"/>
    </row>
    <row r="755" ht="15.75" customHeight="1">
      <c r="H755" s="78"/>
      <c r="I755" s="2"/>
    </row>
    <row r="756" ht="15.75" customHeight="1">
      <c r="H756" s="78"/>
      <c r="I756" s="2"/>
    </row>
    <row r="757" ht="15.75" customHeight="1">
      <c r="H757" s="78"/>
      <c r="I757" s="2"/>
    </row>
    <row r="758" ht="15.75" customHeight="1">
      <c r="H758" s="78"/>
      <c r="I758" s="2"/>
    </row>
    <row r="759" ht="15.75" customHeight="1">
      <c r="H759" s="78"/>
      <c r="I759" s="2"/>
    </row>
    <row r="760" ht="15.75" customHeight="1">
      <c r="H760" s="78"/>
      <c r="I760" s="2"/>
    </row>
    <row r="761" ht="15.75" customHeight="1">
      <c r="H761" s="78"/>
      <c r="I761" s="2"/>
    </row>
    <row r="762" ht="15.75" customHeight="1">
      <c r="H762" s="78"/>
      <c r="I762" s="2"/>
    </row>
    <row r="763" ht="15.75" customHeight="1">
      <c r="H763" s="78"/>
      <c r="I763" s="2"/>
    </row>
    <row r="764" ht="15.75" customHeight="1">
      <c r="H764" s="78"/>
      <c r="I764" s="2"/>
    </row>
    <row r="765" ht="15.75" customHeight="1">
      <c r="H765" s="78"/>
      <c r="I765" s="2"/>
    </row>
    <row r="766" ht="15.75" customHeight="1">
      <c r="H766" s="78"/>
      <c r="I766" s="2"/>
    </row>
    <row r="767" ht="15.75" customHeight="1">
      <c r="H767" s="78"/>
      <c r="I767" s="2"/>
    </row>
    <row r="768" ht="15.75" customHeight="1">
      <c r="H768" s="78"/>
      <c r="I768" s="2"/>
    </row>
    <row r="769" ht="15.75" customHeight="1">
      <c r="H769" s="78"/>
      <c r="I769" s="2"/>
    </row>
    <row r="770" ht="15.75" customHeight="1">
      <c r="H770" s="78"/>
      <c r="I770" s="2"/>
    </row>
    <row r="771" ht="15.75" customHeight="1">
      <c r="H771" s="78"/>
      <c r="I771" s="2"/>
    </row>
    <row r="772" ht="15.75" customHeight="1">
      <c r="H772" s="78"/>
      <c r="I772" s="2"/>
    </row>
    <row r="773" ht="15.75" customHeight="1">
      <c r="H773" s="78"/>
      <c r="I773" s="2"/>
    </row>
    <row r="774" ht="15.75" customHeight="1">
      <c r="H774" s="78"/>
      <c r="I774" s="2"/>
    </row>
    <row r="775" ht="15.75" customHeight="1">
      <c r="H775" s="78"/>
      <c r="I775" s="2"/>
    </row>
    <row r="776" ht="15.75" customHeight="1">
      <c r="H776" s="78"/>
      <c r="I776" s="2"/>
    </row>
    <row r="777" ht="15.75" customHeight="1">
      <c r="H777" s="78"/>
      <c r="I777" s="2"/>
    </row>
    <row r="778" ht="15.75" customHeight="1">
      <c r="H778" s="78"/>
      <c r="I778" s="2"/>
    </row>
    <row r="779" ht="15.75" customHeight="1">
      <c r="H779" s="78"/>
      <c r="I779" s="2"/>
    </row>
    <row r="780" ht="15.75" customHeight="1">
      <c r="H780" s="78"/>
      <c r="I780" s="2"/>
    </row>
    <row r="781" ht="15.75" customHeight="1">
      <c r="H781" s="78"/>
      <c r="I781" s="2"/>
    </row>
    <row r="782" ht="15.75" customHeight="1">
      <c r="H782" s="78"/>
      <c r="I782" s="2"/>
    </row>
    <row r="783" ht="15.75" customHeight="1">
      <c r="H783" s="78"/>
      <c r="I783" s="2"/>
    </row>
    <row r="784" ht="15.75" customHeight="1">
      <c r="H784" s="78"/>
      <c r="I784" s="2"/>
    </row>
    <row r="785" ht="15.75" customHeight="1">
      <c r="H785" s="78"/>
      <c r="I785" s="2"/>
    </row>
    <row r="786" ht="15.75" customHeight="1">
      <c r="H786" s="78"/>
      <c r="I786" s="2"/>
    </row>
    <row r="787" ht="15.75" customHeight="1">
      <c r="H787" s="78"/>
      <c r="I787" s="2"/>
    </row>
    <row r="788" ht="15.75" customHeight="1">
      <c r="H788" s="78"/>
      <c r="I788" s="2"/>
    </row>
    <row r="789" ht="15.75" customHeight="1">
      <c r="H789" s="78"/>
      <c r="I789" s="2"/>
    </row>
    <row r="790" ht="15.75" customHeight="1">
      <c r="H790" s="78"/>
      <c r="I790" s="2"/>
    </row>
    <row r="791" ht="15.75" customHeight="1">
      <c r="H791" s="78"/>
      <c r="I791" s="2"/>
    </row>
    <row r="792" ht="15.75" customHeight="1">
      <c r="H792" s="78"/>
      <c r="I792" s="2"/>
    </row>
    <row r="793" ht="15.75" customHeight="1">
      <c r="H793" s="78"/>
      <c r="I793" s="2"/>
    </row>
    <row r="794" ht="15.75" customHeight="1">
      <c r="H794" s="78"/>
      <c r="I794" s="2"/>
    </row>
    <row r="795" ht="15.75" customHeight="1">
      <c r="H795" s="78"/>
      <c r="I795" s="2"/>
    </row>
    <row r="796" ht="15.75" customHeight="1">
      <c r="H796" s="78"/>
      <c r="I796" s="2"/>
    </row>
    <row r="797" ht="15.75" customHeight="1">
      <c r="H797" s="78"/>
      <c r="I797" s="2"/>
    </row>
    <row r="798" ht="15.75" customHeight="1">
      <c r="H798" s="78"/>
      <c r="I798" s="2"/>
    </row>
    <row r="799" ht="15.75" customHeight="1">
      <c r="H799" s="78"/>
      <c r="I799" s="2"/>
    </row>
    <row r="800" ht="15.75" customHeight="1">
      <c r="H800" s="78"/>
      <c r="I800" s="2"/>
    </row>
    <row r="801" ht="15.75" customHeight="1">
      <c r="H801" s="78"/>
      <c r="I801" s="2"/>
    </row>
    <row r="802" ht="15.75" customHeight="1">
      <c r="H802" s="78"/>
      <c r="I802" s="2"/>
    </row>
    <row r="803" ht="15.75" customHeight="1">
      <c r="H803" s="78"/>
      <c r="I803" s="2"/>
    </row>
    <row r="804" ht="15.75" customHeight="1">
      <c r="H804" s="78"/>
      <c r="I804" s="2"/>
    </row>
    <row r="805" ht="15.75" customHeight="1">
      <c r="H805" s="78"/>
      <c r="I805" s="2"/>
    </row>
    <row r="806" ht="15.75" customHeight="1">
      <c r="H806" s="78"/>
      <c r="I806" s="2"/>
    </row>
    <row r="807" ht="15.75" customHeight="1">
      <c r="H807" s="78"/>
      <c r="I807" s="2"/>
    </row>
    <row r="808" ht="15.75" customHeight="1">
      <c r="H808" s="78"/>
      <c r="I808" s="2"/>
    </row>
    <row r="809" ht="15.75" customHeight="1">
      <c r="H809" s="78"/>
      <c r="I809" s="2"/>
    </row>
    <row r="810" ht="15.75" customHeight="1">
      <c r="H810" s="78"/>
      <c r="I810" s="2"/>
    </row>
    <row r="811" ht="15.75" customHeight="1">
      <c r="H811" s="78"/>
      <c r="I811" s="2"/>
    </row>
    <row r="812" ht="15.75" customHeight="1">
      <c r="H812" s="78"/>
      <c r="I812" s="2"/>
    </row>
    <row r="813" ht="15.75" customHeight="1">
      <c r="H813" s="78"/>
      <c r="I813" s="2"/>
    </row>
    <row r="814" ht="15.75" customHeight="1">
      <c r="H814" s="78"/>
      <c r="I814" s="2"/>
    </row>
    <row r="815" ht="15.75" customHeight="1">
      <c r="H815" s="78"/>
      <c r="I815" s="2"/>
    </row>
    <row r="816" ht="15.75" customHeight="1">
      <c r="H816" s="78"/>
      <c r="I816" s="2"/>
    </row>
    <row r="817" ht="15.75" customHeight="1">
      <c r="H817" s="78"/>
      <c r="I817" s="2"/>
    </row>
    <row r="818" ht="15.75" customHeight="1">
      <c r="H818" s="78"/>
      <c r="I818" s="2"/>
    </row>
    <row r="819" ht="15.75" customHeight="1">
      <c r="H819" s="78"/>
      <c r="I819" s="2"/>
    </row>
    <row r="820" ht="15.75" customHeight="1">
      <c r="H820" s="78"/>
      <c r="I820" s="2"/>
    </row>
    <row r="821" ht="15.75" customHeight="1">
      <c r="H821" s="78"/>
      <c r="I821" s="2"/>
    </row>
    <row r="822" ht="15.75" customHeight="1">
      <c r="H822" s="78"/>
      <c r="I822" s="2"/>
    </row>
    <row r="823" ht="15.75" customHeight="1">
      <c r="H823" s="78"/>
      <c r="I823" s="2"/>
    </row>
    <row r="824" ht="15.75" customHeight="1">
      <c r="H824" s="78"/>
      <c r="I824" s="2"/>
    </row>
    <row r="825" ht="15.75" customHeight="1">
      <c r="H825" s="78"/>
      <c r="I825" s="2"/>
    </row>
    <row r="826" ht="15.75" customHeight="1">
      <c r="H826" s="78"/>
      <c r="I826" s="2"/>
    </row>
    <row r="827" ht="15.75" customHeight="1">
      <c r="H827" s="78"/>
      <c r="I827" s="2"/>
    </row>
    <row r="828" ht="15.75" customHeight="1">
      <c r="H828" s="78"/>
      <c r="I828" s="2"/>
    </row>
    <row r="829" ht="15.75" customHeight="1">
      <c r="H829" s="78"/>
      <c r="I829" s="2"/>
    </row>
    <row r="830" ht="15.75" customHeight="1">
      <c r="H830" s="78"/>
      <c r="I830" s="2"/>
    </row>
    <row r="831" ht="15.75" customHeight="1">
      <c r="H831" s="78"/>
      <c r="I831" s="2"/>
    </row>
    <row r="832" ht="15.75" customHeight="1">
      <c r="H832" s="78"/>
      <c r="I832" s="2"/>
    </row>
    <row r="833" ht="15.75" customHeight="1">
      <c r="H833" s="78"/>
      <c r="I833" s="2"/>
    </row>
    <row r="834" ht="15.75" customHeight="1">
      <c r="H834" s="78"/>
      <c r="I834" s="2"/>
    </row>
    <row r="835" ht="15.75" customHeight="1">
      <c r="H835" s="78"/>
      <c r="I835" s="2"/>
    </row>
    <row r="836" ht="15.75" customHeight="1">
      <c r="H836" s="78"/>
      <c r="I836" s="2"/>
    </row>
    <row r="837" ht="15.75" customHeight="1">
      <c r="H837" s="78"/>
      <c r="I837" s="2"/>
    </row>
    <row r="838" ht="15.75" customHeight="1">
      <c r="H838" s="78"/>
      <c r="I838" s="2"/>
    </row>
    <row r="839" ht="15.75" customHeight="1">
      <c r="H839" s="78"/>
      <c r="I839" s="2"/>
    </row>
    <row r="840" ht="15.75" customHeight="1">
      <c r="H840" s="78"/>
      <c r="I840" s="2"/>
    </row>
    <row r="841" ht="15.75" customHeight="1">
      <c r="H841" s="78"/>
      <c r="I841" s="2"/>
    </row>
    <row r="842" ht="15.75" customHeight="1">
      <c r="H842" s="78"/>
      <c r="I842" s="2"/>
    </row>
    <row r="843" ht="15.75" customHeight="1">
      <c r="H843" s="78"/>
      <c r="I843" s="2"/>
    </row>
    <row r="844" ht="15.75" customHeight="1">
      <c r="H844" s="78"/>
      <c r="I844" s="2"/>
    </row>
    <row r="845" ht="15.75" customHeight="1">
      <c r="H845" s="78"/>
      <c r="I845" s="2"/>
    </row>
    <row r="846" ht="15.75" customHeight="1">
      <c r="H846" s="78"/>
      <c r="I846" s="2"/>
    </row>
    <row r="847" ht="15.75" customHeight="1">
      <c r="H847" s="78"/>
      <c r="I847" s="2"/>
    </row>
    <row r="848" ht="15.75" customHeight="1">
      <c r="H848" s="78"/>
      <c r="I848" s="2"/>
    </row>
    <row r="849" ht="15.75" customHeight="1">
      <c r="H849" s="78"/>
      <c r="I849" s="2"/>
    </row>
    <row r="850" ht="15.75" customHeight="1">
      <c r="H850" s="78"/>
      <c r="I850" s="2"/>
    </row>
    <row r="851" ht="15.75" customHeight="1">
      <c r="H851" s="78"/>
      <c r="I851" s="2"/>
    </row>
    <row r="852" ht="15.75" customHeight="1">
      <c r="H852" s="78"/>
      <c r="I852" s="2"/>
    </row>
    <row r="853" ht="15.75" customHeight="1">
      <c r="H853" s="78"/>
      <c r="I853" s="2"/>
    </row>
    <row r="854" ht="15.75" customHeight="1">
      <c r="H854" s="78"/>
      <c r="I854" s="2"/>
    </row>
    <row r="855" ht="15.75" customHeight="1">
      <c r="H855" s="78"/>
      <c r="I855" s="2"/>
    </row>
    <row r="856" ht="15.75" customHeight="1">
      <c r="H856" s="78"/>
      <c r="I856" s="2"/>
    </row>
    <row r="857" ht="15.75" customHeight="1">
      <c r="H857" s="78"/>
      <c r="I857" s="2"/>
    </row>
    <row r="858" ht="15.75" customHeight="1">
      <c r="H858" s="78"/>
      <c r="I858" s="2"/>
    </row>
    <row r="859" ht="15.75" customHeight="1">
      <c r="H859" s="78"/>
      <c r="I859" s="2"/>
    </row>
    <row r="860" ht="15.75" customHeight="1">
      <c r="H860" s="78"/>
      <c r="I860" s="2"/>
    </row>
    <row r="861" ht="15.75" customHeight="1">
      <c r="H861" s="78"/>
      <c r="I861" s="2"/>
    </row>
    <row r="862" ht="15.75" customHeight="1">
      <c r="H862" s="78"/>
      <c r="I862" s="2"/>
    </row>
    <row r="863" ht="15.75" customHeight="1">
      <c r="H863" s="78"/>
      <c r="I863" s="2"/>
    </row>
    <row r="864" ht="15.75" customHeight="1">
      <c r="H864" s="78"/>
      <c r="I864" s="2"/>
    </row>
    <row r="865" ht="15.75" customHeight="1">
      <c r="H865" s="78"/>
      <c r="I865" s="2"/>
    </row>
    <row r="866" ht="15.75" customHeight="1">
      <c r="H866" s="78"/>
      <c r="I866" s="2"/>
    </row>
    <row r="867" ht="15.75" customHeight="1">
      <c r="H867" s="78"/>
      <c r="I867" s="2"/>
    </row>
    <row r="868" ht="15.75" customHeight="1">
      <c r="H868" s="78"/>
      <c r="I868" s="2"/>
    </row>
    <row r="869" ht="15.75" customHeight="1">
      <c r="H869" s="78"/>
      <c r="I869" s="2"/>
    </row>
    <row r="870" ht="15.75" customHeight="1">
      <c r="H870" s="78"/>
      <c r="I870" s="2"/>
    </row>
    <row r="871" ht="15.75" customHeight="1">
      <c r="H871" s="78"/>
      <c r="I871" s="2"/>
    </row>
    <row r="872" ht="15.75" customHeight="1">
      <c r="H872" s="78"/>
      <c r="I872" s="2"/>
    </row>
    <row r="873" ht="15.75" customHeight="1">
      <c r="H873" s="78"/>
      <c r="I873" s="2"/>
    </row>
    <row r="874" ht="15.75" customHeight="1">
      <c r="H874" s="78"/>
      <c r="I874" s="2"/>
    </row>
    <row r="875" ht="15.75" customHeight="1">
      <c r="H875" s="78"/>
      <c r="I875" s="2"/>
    </row>
    <row r="876" ht="15.75" customHeight="1">
      <c r="H876" s="78"/>
      <c r="I876" s="2"/>
    </row>
    <row r="877" ht="15.75" customHeight="1">
      <c r="H877" s="78"/>
      <c r="I877" s="2"/>
    </row>
    <row r="878" ht="15.75" customHeight="1">
      <c r="H878" s="78"/>
      <c r="I878" s="2"/>
    </row>
    <row r="879" ht="15.75" customHeight="1">
      <c r="H879" s="78"/>
      <c r="I879" s="2"/>
    </row>
    <row r="880" ht="15.75" customHeight="1">
      <c r="H880" s="78"/>
      <c r="I880" s="2"/>
    </row>
    <row r="881" ht="15.75" customHeight="1">
      <c r="H881" s="78"/>
      <c r="I881" s="2"/>
    </row>
    <row r="882" ht="15.75" customHeight="1">
      <c r="H882" s="78"/>
      <c r="I882" s="2"/>
    </row>
    <row r="883" ht="15.75" customHeight="1">
      <c r="H883" s="78"/>
      <c r="I883" s="2"/>
    </row>
    <row r="884" ht="15.75" customHeight="1">
      <c r="H884" s="78"/>
      <c r="I884" s="2"/>
    </row>
    <row r="885" ht="15.75" customHeight="1">
      <c r="H885" s="78"/>
      <c r="I885" s="2"/>
    </row>
    <row r="886" ht="15.75" customHeight="1">
      <c r="H886" s="78"/>
      <c r="I886" s="2"/>
    </row>
    <row r="887" ht="15.75" customHeight="1">
      <c r="H887" s="78"/>
      <c r="I887" s="2"/>
    </row>
    <row r="888" ht="15.75" customHeight="1">
      <c r="H888" s="78"/>
      <c r="I888" s="2"/>
    </row>
    <row r="889" ht="15.75" customHeight="1">
      <c r="H889" s="78"/>
      <c r="I889" s="2"/>
    </row>
    <row r="890" ht="15.75" customHeight="1">
      <c r="H890" s="78"/>
      <c r="I890" s="2"/>
    </row>
    <row r="891" ht="15.75" customHeight="1">
      <c r="H891" s="78"/>
      <c r="I891" s="2"/>
    </row>
    <row r="892" ht="15.75" customHeight="1">
      <c r="H892" s="78"/>
      <c r="I892" s="2"/>
    </row>
    <row r="893" ht="15.75" customHeight="1">
      <c r="H893" s="78"/>
      <c r="I893" s="2"/>
    </row>
    <row r="894" ht="15.75" customHeight="1">
      <c r="H894" s="78"/>
      <c r="I894" s="2"/>
    </row>
    <row r="895" ht="15.75" customHeight="1">
      <c r="H895" s="78"/>
      <c r="I895" s="2"/>
    </row>
    <row r="896" ht="15.75" customHeight="1">
      <c r="H896" s="78"/>
      <c r="I896" s="2"/>
    </row>
    <row r="897" ht="15.75" customHeight="1">
      <c r="H897" s="78"/>
      <c r="I897" s="2"/>
    </row>
    <row r="898" ht="15.75" customHeight="1">
      <c r="H898" s="78"/>
      <c r="I898" s="2"/>
    </row>
    <row r="899" ht="15.75" customHeight="1">
      <c r="H899" s="78"/>
      <c r="I899" s="2"/>
    </row>
    <row r="900" ht="15.75" customHeight="1">
      <c r="H900" s="78"/>
      <c r="I900" s="2"/>
    </row>
    <row r="901" ht="15.75" customHeight="1">
      <c r="H901" s="78"/>
      <c r="I901" s="2"/>
    </row>
    <row r="902" ht="15.75" customHeight="1">
      <c r="H902" s="78"/>
      <c r="I902" s="2"/>
    </row>
    <row r="903" ht="15.75" customHeight="1">
      <c r="H903" s="78"/>
      <c r="I903" s="2"/>
    </row>
    <row r="904" ht="15.75" customHeight="1">
      <c r="H904" s="78"/>
      <c r="I904" s="2"/>
    </row>
    <row r="905" ht="15.75" customHeight="1">
      <c r="H905" s="78"/>
      <c r="I905" s="2"/>
    </row>
    <row r="906" ht="15.75" customHeight="1">
      <c r="H906" s="78"/>
      <c r="I906" s="2"/>
    </row>
    <row r="907" ht="15.75" customHeight="1">
      <c r="H907" s="78"/>
      <c r="I907" s="2"/>
    </row>
    <row r="908" ht="15.75" customHeight="1">
      <c r="H908" s="78"/>
      <c r="I908" s="2"/>
    </row>
    <row r="909" ht="15.75" customHeight="1">
      <c r="H909" s="78"/>
      <c r="I909" s="2"/>
    </row>
    <row r="910" ht="15.75" customHeight="1">
      <c r="H910" s="78"/>
      <c r="I910" s="2"/>
    </row>
    <row r="911" ht="15.75" customHeight="1">
      <c r="H911" s="78"/>
      <c r="I911" s="2"/>
    </row>
    <row r="912" ht="15.75" customHeight="1">
      <c r="H912" s="78"/>
      <c r="I912" s="2"/>
    </row>
    <row r="913" ht="15.75" customHeight="1">
      <c r="H913" s="78"/>
      <c r="I913" s="2"/>
    </row>
    <row r="914" ht="15.75" customHeight="1">
      <c r="H914" s="78"/>
      <c r="I914" s="2"/>
    </row>
    <row r="915" ht="15.75" customHeight="1">
      <c r="H915" s="78"/>
      <c r="I915" s="2"/>
    </row>
    <row r="916" ht="15.75" customHeight="1">
      <c r="H916" s="78"/>
      <c r="I916" s="2"/>
    </row>
    <row r="917" ht="15.75" customHeight="1">
      <c r="H917" s="78"/>
      <c r="I917" s="2"/>
    </row>
    <row r="918" ht="15.75" customHeight="1">
      <c r="H918" s="78"/>
      <c r="I918" s="2"/>
    </row>
    <row r="919" ht="15.75" customHeight="1">
      <c r="H919" s="78"/>
      <c r="I919" s="2"/>
    </row>
    <row r="920" ht="15.75" customHeight="1">
      <c r="H920" s="78"/>
      <c r="I920" s="2"/>
    </row>
    <row r="921" ht="15.75" customHeight="1">
      <c r="H921" s="78"/>
      <c r="I921" s="2"/>
    </row>
    <row r="922" ht="15.75" customHeight="1">
      <c r="H922" s="78"/>
      <c r="I922" s="2"/>
    </row>
    <row r="923" ht="15.75" customHeight="1">
      <c r="H923" s="78"/>
      <c r="I923" s="2"/>
    </row>
    <row r="924" ht="15.75" customHeight="1">
      <c r="H924" s="78"/>
      <c r="I924" s="2"/>
    </row>
    <row r="925" ht="15.75" customHeight="1">
      <c r="H925" s="78"/>
      <c r="I925" s="2"/>
    </row>
    <row r="926" ht="15.75" customHeight="1">
      <c r="H926" s="78"/>
      <c r="I926" s="2"/>
    </row>
    <row r="927" ht="15.75" customHeight="1">
      <c r="H927" s="78"/>
      <c r="I927" s="2"/>
    </row>
    <row r="928" ht="15.75" customHeight="1">
      <c r="H928" s="78"/>
      <c r="I928" s="2"/>
    </row>
    <row r="929" ht="15.75" customHeight="1">
      <c r="H929" s="78"/>
      <c r="I929" s="2"/>
    </row>
    <row r="930" ht="15.75" customHeight="1">
      <c r="H930" s="78"/>
      <c r="I930" s="2"/>
    </row>
    <row r="931" ht="15.75" customHeight="1">
      <c r="H931" s="78"/>
      <c r="I931" s="2"/>
    </row>
    <row r="932" ht="15.75" customHeight="1">
      <c r="H932" s="78"/>
      <c r="I932" s="2"/>
    </row>
    <row r="933" ht="15.75" customHeight="1">
      <c r="H933" s="78"/>
      <c r="I933" s="2"/>
    </row>
    <row r="934" ht="15.75" customHeight="1">
      <c r="H934" s="78"/>
      <c r="I934" s="2"/>
    </row>
    <row r="935" ht="15.75" customHeight="1">
      <c r="H935" s="78"/>
      <c r="I935" s="2"/>
    </row>
    <row r="936" ht="15.75" customHeight="1">
      <c r="H936" s="78"/>
      <c r="I936" s="2"/>
    </row>
    <row r="937" ht="15.75" customHeight="1">
      <c r="H937" s="78"/>
      <c r="I937" s="2"/>
    </row>
    <row r="938" ht="15.75" customHeight="1">
      <c r="H938" s="78"/>
      <c r="I938" s="2"/>
    </row>
    <row r="939" ht="15.75" customHeight="1">
      <c r="H939" s="78"/>
      <c r="I939" s="2"/>
    </row>
    <row r="940" ht="15.75" customHeight="1">
      <c r="H940" s="78"/>
      <c r="I940" s="2"/>
    </row>
    <row r="941" ht="15.75" customHeight="1">
      <c r="H941" s="78"/>
      <c r="I941" s="2"/>
    </row>
    <row r="942" ht="15.75" customHeight="1">
      <c r="H942" s="78"/>
      <c r="I942" s="2"/>
    </row>
    <row r="943" ht="15.75" customHeight="1">
      <c r="H943" s="78"/>
      <c r="I943" s="2"/>
    </row>
    <row r="944" ht="15.75" customHeight="1">
      <c r="H944" s="78"/>
      <c r="I944" s="2"/>
    </row>
    <row r="945" ht="15.75" customHeight="1">
      <c r="H945" s="78"/>
      <c r="I945" s="2"/>
    </row>
    <row r="946" ht="15.75" customHeight="1">
      <c r="H946" s="78"/>
      <c r="I946" s="2"/>
    </row>
    <row r="947" ht="15.75" customHeight="1">
      <c r="H947" s="78"/>
      <c r="I947" s="2"/>
    </row>
    <row r="948" ht="15.75" customHeight="1">
      <c r="H948" s="78"/>
      <c r="I948" s="2"/>
    </row>
    <row r="949" ht="15.75" customHeight="1">
      <c r="H949" s="78"/>
      <c r="I949" s="2"/>
    </row>
    <row r="950" ht="15.75" customHeight="1">
      <c r="H950" s="78"/>
      <c r="I950" s="2"/>
    </row>
    <row r="951" ht="15.75" customHeight="1">
      <c r="H951" s="78"/>
      <c r="I951" s="2"/>
    </row>
    <row r="952" ht="15.75" customHeight="1">
      <c r="H952" s="78"/>
      <c r="I952" s="2"/>
    </row>
    <row r="953" ht="15.75" customHeight="1">
      <c r="H953" s="78"/>
      <c r="I953" s="2"/>
    </row>
    <row r="954" ht="15.75" customHeight="1">
      <c r="H954" s="78"/>
      <c r="I954" s="2"/>
    </row>
    <row r="955" ht="15.75" customHeight="1">
      <c r="H955" s="78"/>
      <c r="I955" s="2"/>
    </row>
    <row r="956" ht="15.75" customHeight="1">
      <c r="H956" s="78"/>
    </row>
    <row r="957" ht="15.75" customHeight="1">
      <c r="H957" s="78"/>
    </row>
  </sheetData>
  <customSheetViews>
    <customSheetView guid="{2FA7891E-C37A-4F45-80DF-82AFA6190D36}" filter="1" showAutoFilter="1">
      <autoFilter ref="$A$1:$J$955">
        <filterColumn colId="5">
          <filters>
            <filter val="F&amp;P"/>
            <filter val="C&amp;C"/>
            <filter val="Category"/>
            <filter val="EPS"/>
            <filter val="Team"/>
            <filter val="TMS"/>
            <filter val="GNC"/>
          </filters>
        </filterColumn>
      </autoFilter>
      <extLst>
        <ext uri="GoogleSheetsCustomDataVersion1">
          <go:sheetsCustomData xmlns:go="http://customooxmlschemas.google.com/" filterViewId="813231720"/>
        </ext>
      </extLst>
    </customSheetView>
  </customSheetViews>
  <dataValidations>
    <dataValidation type="list" allowBlank="1" showErrorMessage="1" sqref="J17:J84">
      <formula1>"Not Ordered,SOFC form,Ordered,Received"</formula1>
    </dataValidation>
    <dataValidation type="list" allowBlank="1" showErrorMessage="1" sqref="F15 F17:F84">
      <formula1>"F&amp;P,C&amp;C,GNC,TMS,Team,EPS"</formula1>
    </dataValidation>
    <dataValidation type="list" allowBlank="1" showErrorMessage="1" sqref="G17:G42 G44:G45 G48:G49 G59">
      <formula1>"Donated,Purchased"</formula1>
    </dataValidation>
  </dataValidations>
  <hyperlinks>
    <hyperlink r:id="rId2" ref="H17"/>
    <hyperlink r:id="rId3" ref="H18"/>
    <hyperlink r:id="rId4" ref="H19"/>
    <hyperlink r:id="rId5" ref="H20"/>
    <hyperlink r:id="rId6" ref="H21"/>
    <hyperlink r:id="rId7" ref="H22"/>
    <hyperlink r:id="rId8" ref="H23"/>
    <hyperlink r:id="rId9" ref="H24"/>
    <hyperlink r:id="rId10" ref="H25"/>
    <hyperlink r:id="rId11" ref="H26"/>
    <hyperlink r:id="rId12" ref="H27"/>
    <hyperlink r:id="rId13" ref="H28"/>
    <hyperlink r:id="rId14" ref="H33"/>
    <hyperlink r:id="rId15" ref="H34"/>
    <hyperlink r:id="rId16" ref="H35"/>
    <hyperlink r:id="rId17" ref="H36"/>
    <hyperlink r:id="rId18" ref="H37"/>
    <hyperlink r:id="rId19" ref="H38"/>
    <hyperlink r:id="rId20" ref="H39"/>
    <hyperlink r:id="rId21" ref="H40"/>
    <hyperlink r:id="rId22" ref="H41"/>
    <hyperlink r:id="rId23" ref="H42"/>
    <hyperlink r:id="rId24" ref="H43"/>
    <hyperlink r:id="rId25" ref="H44"/>
    <hyperlink r:id="rId26" ref="H45"/>
    <hyperlink r:id="rId27" ref="H46"/>
    <hyperlink r:id="rId28" ref="H47"/>
    <hyperlink r:id="rId29" ref="H48"/>
    <hyperlink r:id="rId30" ref="H50"/>
    <hyperlink r:id="rId31" ref="H51"/>
    <hyperlink r:id="rId32" ref="H52"/>
    <hyperlink r:id="rId33" ref="H53"/>
    <hyperlink r:id="rId34" ref="H54"/>
    <hyperlink r:id="rId35" ref="H55"/>
    <hyperlink r:id="rId36" ref="H56"/>
    <hyperlink r:id="rId37" ref="H57"/>
    <hyperlink r:id="rId38" ref="H58"/>
    <hyperlink r:id="rId39" ref="H59"/>
    <hyperlink r:id="rId40" ref="H60"/>
    <hyperlink r:id="rId41" ref="H61"/>
    <hyperlink r:id="rId42" ref="H62"/>
    <hyperlink r:id="rId43" ref="H63"/>
    <hyperlink r:id="rId44" ref="H64"/>
    <hyperlink r:id="rId45" ref="H65"/>
    <hyperlink r:id="rId46" ref="H66"/>
    <hyperlink r:id="rId47" ref="H67"/>
    <hyperlink r:id="rId48" ref="H68"/>
    <hyperlink r:id="rId49" ref="H69"/>
    <hyperlink r:id="rId50" ref="H70"/>
    <hyperlink r:id="rId51" ref="H71"/>
    <hyperlink r:id="rId52" ref="H72"/>
    <hyperlink r:id="rId53" ref="H73"/>
    <hyperlink r:id="rId54" ref="H74"/>
    <hyperlink r:id="rId55" ref="H75"/>
    <hyperlink r:id="rId56" ref="H76"/>
    <hyperlink r:id="rId57" ref="H77"/>
    <hyperlink r:id="rId58" ref="H78"/>
    <hyperlink r:id="rId59" ref="H79"/>
    <hyperlink r:id="rId60" ref="H80"/>
    <hyperlink r:id="rId61" ref="H81"/>
    <hyperlink r:id="rId62" ref="H8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63"/>
  <legacyDrawing r:id="rId6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9.13"/>
    <col customWidth="1" min="4" max="4" width="16.13"/>
    <col customWidth="1" min="5" max="5" width="14.88"/>
    <col customWidth="1" min="7" max="7" width="30.63"/>
  </cols>
  <sheetData>
    <row r="1">
      <c r="A1" s="41" t="s">
        <v>332</v>
      </c>
      <c r="B1" s="41">
        <v>4.0</v>
      </c>
      <c r="C1" s="57"/>
      <c r="D1" s="41"/>
      <c r="E1" s="41" t="s">
        <v>153</v>
      </c>
      <c r="F1" s="41"/>
      <c r="G1" s="91"/>
    </row>
    <row r="2">
      <c r="A2" s="41"/>
      <c r="B2" s="41"/>
      <c r="C2" s="57"/>
      <c r="D2" s="41"/>
      <c r="E2" s="57">
        <f>SUM(E6:E18)</f>
        <v>6342.8</v>
      </c>
      <c r="F2" s="41"/>
      <c r="G2" s="91"/>
    </row>
    <row r="3">
      <c r="A3" s="41"/>
      <c r="B3" s="41"/>
      <c r="C3" s="57"/>
      <c r="D3" s="41"/>
      <c r="E3" s="41"/>
      <c r="F3" s="41"/>
      <c r="G3" s="91"/>
    </row>
    <row r="4">
      <c r="A4" s="41" t="s">
        <v>333</v>
      </c>
      <c r="B4" s="41" t="s">
        <v>334</v>
      </c>
      <c r="C4" s="57" t="s">
        <v>335</v>
      </c>
      <c r="D4" s="41" t="s">
        <v>336</v>
      </c>
      <c r="E4" s="41" t="s">
        <v>337</v>
      </c>
      <c r="F4" s="41" t="s">
        <v>149</v>
      </c>
      <c r="G4" s="91" t="s">
        <v>338</v>
      </c>
    </row>
    <row r="5">
      <c r="A5" s="41"/>
      <c r="B5" s="41" t="s">
        <v>339</v>
      </c>
      <c r="C5" s="57"/>
      <c r="D5" s="41"/>
      <c r="E5" s="41"/>
      <c r="F5" s="41"/>
      <c r="G5" s="91"/>
    </row>
    <row r="6">
      <c r="A6" s="41" t="s">
        <v>340</v>
      </c>
      <c r="B6" s="41">
        <f>B1</f>
        <v>4</v>
      </c>
      <c r="C6" s="57">
        <v>843.0</v>
      </c>
      <c r="D6" s="46">
        <f>C6*1.2</f>
        <v>1011.6</v>
      </c>
      <c r="E6" s="46">
        <f>D6*B6</f>
        <v>4046.4</v>
      </c>
      <c r="F6" s="92" t="s">
        <v>341</v>
      </c>
      <c r="G6" s="91" t="s">
        <v>342</v>
      </c>
    </row>
    <row r="7">
      <c r="A7" s="41"/>
      <c r="B7" s="91" t="s">
        <v>343</v>
      </c>
      <c r="C7" s="57"/>
      <c r="F7" s="93"/>
      <c r="G7" s="91"/>
    </row>
    <row r="8">
      <c r="A8" s="41" t="s">
        <v>344</v>
      </c>
      <c r="B8" s="41">
        <f>(B1/2)*5/4</f>
        <v>2.5</v>
      </c>
      <c r="C8" s="57">
        <v>231.0</v>
      </c>
      <c r="D8" s="46">
        <f>C8*1.2</f>
        <v>277.2</v>
      </c>
      <c r="E8" s="46">
        <f>D8*B8</f>
        <v>693</v>
      </c>
      <c r="F8" s="94" t="s">
        <v>345</v>
      </c>
      <c r="G8" s="91" t="s">
        <v>346</v>
      </c>
    </row>
    <row r="9">
      <c r="A9" s="41"/>
      <c r="B9" s="91" t="s">
        <v>347</v>
      </c>
      <c r="C9" s="57"/>
      <c r="F9" s="95"/>
      <c r="G9" s="96"/>
    </row>
    <row r="10">
      <c r="A10" s="41" t="s">
        <v>348</v>
      </c>
      <c r="B10" s="41">
        <f>($B$1/2)*5/4</f>
        <v>2.5</v>
      </c>
      <c r="C10" s="57">
        <v>231.0</v>
      </c>
      <c r="D10" s="46">
        <f>C10*1.2</f>
        <v>277.2</v>
      </c>
      <c r="E10" s="46">
        <f>D10*B10</f>
        <v>693</v>
      </c>
      <c r="F10" s="94" t="s">
        <v>345</v>
      </c>
      <c r="G10" s="91" t="s">
        <v>346</v>
      </c>
    </row>
    <row r="11">
      <c r="A11" s="41"/>
      <c r="B11" s="91" t="s">
        <v>349</v>
      </c>
      <c r="C11" s="57"/>
      <c r="F11" s="95"/>
      <c r="G11" s="96"/>
    </row>
    <row r="12">
      <c r="A12" s="41" t="s">
        <v>350</v>
      </c>
      <c r="B12" s="41">
        <f>B1*5</f>
        <v>20</v>
      </c>
      <c r="C12" s="57">
        <v>15.0</v>
      </c>
      <c r="D12" s="46">
        <f>C12*1.2</f>
        <v>18</v>
      </c>
      <c r="E12" s="46">
        <f>D12*B12</f>
        <v>360</v>
      </c>
      <c r="F12" s="97" t="s">
        <v>351</v>
      </c>
      <c r="G12" s="96"/>
    </row>
    <row r="13">
      <c r="A13" s="41"/>
      <c r="B13" s="91" t="s">
        <v>352</v>
      </c>
      <c r="C13" s="57"/>
      <c r="G13" s="96"/>
    </row>
    <row r="14">
      <c r="A14" s="41" t="s">
        <v>353</v>
      </c>
      <c r="B14" s="41">
        <f>IF(B1&gt;6,B1,6)</f>
        <v>6</v>
      </c>
      <c r="C14" s="57">
        <v>50.0</v>
      </c>
      <c r="D14" s="46">
        <f>C14*1.2</f>
        <v>60</v>
      </c>
      <c r="E14" s="46">
        <f>D14*B14</f>
        <v>360</v>
      </c>
      <c r="F14" s="97" t="s">
        <v>354</v>
      </c>
      <c r="G14" s="96"/>
    </row>
    <row r="15" ht="29.25" customHeight="1">
      <c r="B15" s="91" t="s">
        <v>355</v>
      </c>
      <c r="C15" s="57" t="s">
        <v>356</v>
      </c>
      <c r="G15" s="96"/>
    </row>
    <row r="16">
      <c r="A16" s="41" t="s">
        <v>357</v>
      </c>
      <c r="B16" s="41">
        <f>210*B1</f>
        <v>840</v>
      </c>
      <c r="C16" s="57">
        <f>3.4/18</f>
        <v>0.1888888889</v>
      </c>
      <c r="D16" s="46">
        <f>C16*1.2</f>
        <v>0.2266666667</v>
      </c>
      <c r="E16" s="46">
        <f>D16*B16</f>
        <v>190.4</v>
      </c>
      <c r="G16" s="96"/>
    </row>
    <row r="17">
      <c r="C17" s="46"/>
      <c r="G17" s="96"/>
    </row>
    <row r="18">
      <c r="C18" s="46"/>
      <c r="G18" s="96"/>
    </row>
    <row r="19">
      <c r="C19" s="46"/>
      <c r="G19" s="96"/>
    </row>
    <row r="20">
      <c r="C20" s="46"/>
      <c r="G20" s="96"/>
    </row>
    <row r="21">
      <c r="C21" s="46"/>
      <c r="G21" s="96"/>
    </row>
    <row r="22">
      <c r="C22" s="46"/>
      <c r="G22" s="96"/>
    </row>
    <row r="23">
      <c r="C23" s="46"/>
      <c r="G23" s="96"/>
    </row>
    <row r="24">
      <c r="C24" s="46"/>
      <c r="G24" s="96"/>
    </row>
    <row r="25">
      <c r="C25" s="46"/>
      <c r="G25" s="96"/>
    </row>
    <row r="26">
      <c r="C26" s="46"/>
      <c r="G26" s="96"/>
    </row>
    <row r="27">
      <c r="C27" s="46"/>
      <c r="G27" s="96"/>
    </row>
    <row r="28">
      <c r="C28" s="46"/>
      <c r="G28" s="96"/>
    </row>
    <row r="29">
      <c r="C29" s="46"/>
      <c r="G29" s="96"/>
    </row>
    <row r="30">
      <c r="C30" s="46"/>
      <c r="G30" s="96"/>
    </row>
    <row r="31">
      <c r="C31" s="46"/>
      <c r="G31" s="96"/>
    </row>
    <row r="32">
      <c r="C32" s="46"/>
      <c r="G32" s="96"/>
    </row>
    <row r="33">
      <c r="C33" s="46"/>
      <c r="G33" s="96"/>
    </row>
    <row r="34">
      <c r="C34" s="46"/>
      <c r="G34" s="96"/>
    </row>
    <row r="35">
      <c r="C35" s="46"/>
      <c r="G35" s="96"/>
    </row>
    <row r="36">
      <c r="C36" s="46"/>
      <c r="G36" s="96"/>
    </row>
    <row r="37">
      <c r="C37" s="46"/>
      <c r="G37" s="96"/>
    </row>
    <row r="38">
      <c r="C38" s="46"/>
      <c r="G38" s="96"/>
    </row>
    <row r="39">
      <c r="C39" s="46"/>
      <c r="G39" s="96"/>
    </row>
    <row r="40">
      <c r="C40" s="46"/>
      <c r="G40" s="96"/>
    </row>
    <row r="41">
      <c r="C41" s="46"/>
      <c r="G41" s="96"/>
    </row>
    <row r="42">
      <c r="C42" s="46"/>
      <c r="G42" s="96"/>
    </row>
    <row r="43">
      <c r="C43" s="46"/>
      <c r="G43" s="96"/>
    </row>
    <row r="44">
      <c r="C44" s="46"/>
      <c r="G44" s="96"/>
    </row>
    <row r="45">
      <c r="C45" s="46"/>
      <c r="G45" s="96"/>
    </row>
    <row r="46">
      <c r="C46" s="46"/>
      <c r="G46" s="96"/>
    </row>
    <row r="47">
      <c r="C47" s="46"/>
      <c r="G47" s="96"/>
    </row>
    <row r="48">
      <c r="C48" s="46"/>
      <c r="G48" s="96"/>
    </row>
    <row r="49">
      <c r="C49" s="46"/>
      <c r="G49" s="96"/>
    </row>
    <row r="50">
      <c r="C50" s="46"/>
      <c r="G50" s="96"/>
    </row>
    <row r="51">
      <c r="C51" s="46"/>
      <c r="G51" s="96"/>
    </row>
    <row r="52">
      <c r="C52" s="46"/>
      <c r="G52" s="96"/>
    </row>
    <row r="53">
      <c r="C53" s="46"/>
      <c r="G53" s="96"/>
    </row>
    <row r="54">
      <c r="C54" s="46"/>
      <c r="G54" s="96"/>
    </row>
    <row r="55">
      <c r="C55" s="46"/>
      <c r="G55" s="96"/>
    </row>
    <row r="56">
      <c r="C56" s="46"/>
      <c r="G56" s="96"/>
    </row>
    <row r="57">
      <c r="C57" s="46"/>
      <c r="G57" s="96"/>
    </row>
    <row r="58">
      <c r="C58" s="46"/>
      <c r="G58" s="96"/>
    </row>
    <row r="59">
      <c r="C59" s="46"/>
      <c r="G59" s="96"/>
    </row>
    <row r="60">
      <c r="C60" s="46"/>
      <c r="G60" s="96"/>
    </row>
    <row r="61">
      <c r="C61" s="46"/>
      <c r="G61" s="96"/>
    </row>
    <row r="62">
      <c r="C62" s="46"/>
      <c r="G62" s="96"/>
    </row>
    <row r="63">
      <c r="C63" s="46"/>
      <c r="G63" s="96"/>
    </row>
    <row r="64">
      <c r="C64" s="46"/>
      <c r="G64" s="96"/>
    </row>
    <row r="65">
      <c r="C65" s="46"/>
      <c r="G65" s="96"/>
    </row>
    <row r="66">
      <c r="C66" s="46"/>
      <c r="G66" s="96"/>
    </row>
    <row r="67">
      <c r="C67" s="46"/>
      <c r="G67" s="96"/>
    </row>
    <row r="68">
      <c r="C68" s="46"/>
      <c r="G68" s="96"/>
    </row>
    <row r="69">
      <c r="C69" s="46"/>
      <c r="G69" s="96"/>
    </row>
    <row r="70">
      <c r="C70" s="46"/>
      <c r="G70" s="96"/>
    </row>
    <row r="71">
      <c r="C71" s="46"/>
      <c r="G71" s="96"/>
    </row>
    <row r="72">
      <c r="C72" s="46"/>
      <c r="G72" s="96"/>
    </row>
    <row r="73">
      <c r="C73" s="46"/>
      <c r="G73" s="96"/>
    </row>
    <row r="74">
      <c r="C74" s="46"/>
      <c r="G74" s="96"/>
    </row>
    <row r="75">
      <c r="C75" s="46"/>
      <c r="G75" s="96"/>
    </row>
    <row r="76">
      <c r="C76" s="46"/>
      <c r="G76" s="96"/>
    </row>
    <row r="77">
      <c r="C77" s="46"/>
      <c r="G77" s="96"/>
    </row>
    <row r="78">
      <c r="C78" s="46"/>
      <c r="G78" s="96"/>
    </row>
    <row r="79">
      <c r="C79" s="46"/>
      <c r="G79" s="96"/>
    </row>
    <row r="80">
      <c r="C80" s="46"/>
      <c r="G80" s="96"/>
    </row>
    <row r="81">
      <c r="C81" s="46"/>
      <c r="G81" s="96"/>
    </row>
    <row r="82">
      <c r="C82" s="46"/>
      <c r="G82" s="96"/>
    </row>
    <row r="83">
      <c r="C83" s="46"/>
      <c r="G83" s="96"/>
    </row>
    <row r="84">
      <c r="C84" s="46"/>
      <c r="G84" s="96"/>
    </row>
    <row r="85">
      <c r="C85" s="46"/>
      <c r="G85" s="96"/>
    </row>
    <row r="86">
      <c r="C86" s="46"/>
      <c r="G86" s="96"/>
    </row>
    <row r="87">
      <c r="C87" s="46"/>
      <c r="G87" s="96"/>
    </row>
    <row r="88">
      <c r="C88" s="46"/>
      <c r="G88" s="96"/>
    </row>
    <row r="89">
      <c r="C89" s="46"/>
      <c r="G89" s="96"/>
    </row>
    <row r="90">
      <c r="C90" s="46"/>
      <c r="G90" s="96"/>
    </row>
    <row r="91">
      <c r="C91" s="46"/>
      <c r="G91" s="96"/>
    </row>
    <row r="92">
      <c r="C92" s="46"/>
      <c r="G92" s="96"/>
    </row>
    <row r="93">
      <c r="C93" s="46"/>
      <c r="G93" s="96"/>
    </row>
    <row r="94">
      <c r="C94" s="46"/>
      <c r="G94" s="96"/>
    </row>
    <row r="95">
      <c r="C95" s="46"/>
      <c r="G95" s="96"/>
    </row>
    <row r="96">
      <c r="C96" s="46"/>
      <c r="G96" s="96"/>
    </row>
    <row r="97">
      <c r="C97" s="46"/>
      <c r="G97" s="96"/>
    </row>
    <row r="98">
      <c r="C98" s="46"/>
      <c r="G98" s="96"/>
    </row>
    <row r="99">
      <c r="C99" s="46"/>
      <c r="G99" s="96"/>
    </row>
    <row r="100">
      <c r="C100" s="46"/>
      <c r="G100" s="96"/>
    </row>
    <row r="101">
      <c r="C101" s="46"/>
      <c r="G101" s="96"/>
    </row>
    <row r="102">
      <c r="C102" s="46"/>
      <c r="G102" s="96"/>
    </row>
    <row r="103">
      <c r="C103" s="46"/>
      <c r="G103" s="96"/>
    </row>
    <row r="104">
      <c r="C104" s="46"/>
      <c r="G104" s="96"/>
    </row>
    <row r="105">
      <c r="C105" s="46"/>
      <c r="G105" s="96"/>
    </row>
    <row r="106">
      <c r="C106" s="46"/>
      <c r="G106" s="96"/>
    </row>
    <row r="107">
      <c r="C107" s="46"/>
      <c r="G107" s="96"/>
    </row>
    <row r="108">
      <c r="C108" s="46"/>
      <c r="G108" s="96"/>
    </row>
    <row r="109">
      <c r="C109" s="46"/>
      <c r="G109" s="96"/>
    </row>
    <row r="110">
      <c r="C110" s="46"/>
      <c r="G110" s="96"/>
    </row>
    <row r="111">
      <c r="C111" s="46"/>
      <c r="G111" s="96"/>
    </row>
    <row r="112">
      <c r="C112" s="46"/>
      <c r="G112" s="96"/>
    </row>
    <row r="113">
      <c r="C113" s="46"/>
      <c r="G113" s="96"/>
    </row>
    <row r="114">
      <c r="C114" s="46"/>
      <c r="G114" s="96"/>
    </row>
    <row r="115">
      <c r="C115" s="46"/>
      <c r="G115" s="96"/>
    </row>
    <row r="116">
      <c r="C116" s="46"/>
      <c r="G116" s="96"/>
    </row>
    <row r="117">
      <c r="C117" s="46"/>
      <c r="G117" s="96"/>
    </row>
    <row r="118">
      <c r="C118" s="46"/>
      <c r="G118" s="96"/>
    </row>
    <row r="119">
      <c r="C119" s="46"/>
      <c r="G119" s="96"/>
    </row>
    <row r="120">
      <c r="C120" s="46"/>
      <c r="G120" s="96"/>
    </row>
    <row r="121">
      <c r="C121" s="46"/>
      <c r="G121" s="96"/>
    </row>
    <row r="122">
      <c r="C122" s="46"/>
      <c r="G122" s="96"/>
    </row>
    <row r="123">
      <c r="C123" s="46"/>
      <c r="G123" s="96"/>
    </row>
    <row r="124">
      <c r="C124" s="46"/>
      <c r="G124" s="96"/>
    </row>
    <row r="125">
      <c r="C125" s="46"/>
      <c r="G125" s="96"/>
    </row>
    <row r="126">
      <c r="C126" s="46"/>
      <c r="G126" s="96"/>
    </row>
    <row r="127">
      <c r="C127" s="46"/>
      <c r="G127" s="96"/>
    </row>
    <row r="128">
      <c r="C128" s="46"/>
      <c r="G128" s="96"/>
    </row>
    <row r="129">
      <c r="C129" s="46"/>
      <c r="G129" s="96"/>
    </row>
    <row r="130">
      <c r="C130" s="46"/>
      <c r="G130" s="96"/>
    </row>
    <row r="131">
      <c r="C131" s="46"/>
      <c r="G131" s="96"/>
    </row>
    <row r="132">
      <c r="C132" s="46"/>
      <c r="G132" s="96"/>
    </row>
    <row r="133">
      <c r="C133" s="46"/>
      <c r="G133" s="96"/>
    </row>
    <row r="134">
      <c r="C134" s="46"/>
      <c r="G134" s="96"/>
    </row>
    <row r="135">
      <c r="C135" s="46"/>
      <c r="G135" s="96"/>
    </row>
    <row r="136">
      <c r="C136" s="46"/>
      <c r="G136" s="96"/>
    </row>
    <row r="137">
      <c r="C137" s="46"/>
      <c r="G137" s="96"/>
    </row>
    <row r="138">
      <c r="C138" s="46"/>
      <c r="G138" s="96"/>
    </row>
    <row r="139">
      <c r="C139" s="46"/>
      <c r="G139" s="96"/>
    </row>
    <row r="140">
      <c r="C140" s="46"/>
      <c r="G140" s="96"/>
    </row>
    <row r="141">
      <c r="C141" s="46"/>
      <c r="G141" s="96"/>
    </row>
    <row r="142">
      <c r="C142" s="46"/>
      <c r="G142" s="96"/>
    </row>
    <row r="143">
      <c r="C143" s="46"/>
      <c r="G143" s="96"/>
    </row>
    <row r="144">
      <c r="C144" s="46"/>
      <c r="G144" s="96"/>
    </row>
    <row r="145">
      <c r="C145" s="46"/>
      <c r="G145" s="96"/>
    </row>
    <row r="146">
      <c r="C146" s="46"/>
      <c r="G146" s="96"/>
    </row>
    <row r="147">
      <c r="C147" s="46"/>
      <c r="G147" s="96"/>
    </row>
    <row r="148">
      <c r="C148" s="46"/>
      <c r="G148" s="96"/>
    </row>
    <row r="149">
      <c r="C149" s="46"/>
      <c r="G149" s="96"/>
    </row>
    <row r="150">
      <c r="C150" s="46"/>
      <c r="G150" s="96"/>
    </row>
    <row r="151">
      <c r="C151" s="46"/>
      <c r="G151" s="96"/>
    </row>
    <row r="152">
      <c r="C152" s="46"/>
      <c r="G152" s="96"/>
    </row>
    <row r="153">
      <c r="C153" s="46"/>
      <c r="G153" s="96"/>
    </row>
    <row r="154">
      <c r="C154" s="46"/>
      <c r="G154" s="96"/>
    </row>
    <row r="155">
      <c r="C155" s="46"/>
      <c r="G155" s="96"/>
    </row>
    <row r="156">
      <c r="C156" s="46"/>
      <c r="G156" s="96"/>
    </row>
    <row r="157">
      <c r="C157" s="46"/>
      <c r="G157" s="96"/>
    </row>
    <row r="158">
      <c r="C158" s="46"/>
      <c r="G158" s="96"/>
    </row>
    <row r="159">
      <c r="C159" s="46"/>
      <c r="G159" s="96"/>
    </row>
    <row r="160">
      <c r="C160" s="46"/>
      <c r="G160" s="96"/>
    </row>
    <row r="161">
      <c r="C161" s="46"/>
      <c r="G161" s="96"/>
    </row>
    <row r="162">
      <c r="C162" s="46"/>
      <c r="G162" s="96"/>
    </row>
    <row r="163">
      <c r="C163" s="46"/>
      <c r="G163" s="96"/>
    </row>
    <row r="164">
      <c r="C164" s="46"/>
      <c r="G164" s="96"/>
    </row>
    <row r="165">
      <c r="C165" s="46"/>
      <c r="G165" s="96"/>
    </row>
    <row r="166">
      <c r="C166" s="46"/>
      <c r="G166" s="96"/>
    </row>
    <row r="167">
      <c r="C167" s="46"/>
      <c r="G167" s="96"/>
    </row>
    <row r="168">
      <c r="C168" s="46"/>
      <c r="G168" s="96"/>
    </row>
    <row r="169">
      <c r="C169" s="46"/>
      <c r="G169" s="96"/>
    </row>
    <row r="170">
      <c r="C170" s="46"/>
      <c r="G170" s="96"/>
    </row>
    <row r="171">
      <c r="C171" s="46"/>
      <c r="G171" s="96"/>
    </row>
    <row r="172">
      <c r="C172" s="46"/>
      <c r="G172" s="96"/>
    </row>
    <row r="173">
      <c r="C173" s="46"/>
      <c r="G173" s="96"/>
    </row>
    <row r="174">
      <c r="C174" s="46"/>
      <c r="G174" s="96"/>
    </row>
    <row r="175">
      <c r="C175" s="46"/>
      <c r="G175" s="96"/>
    </row>
    <row r="176">
      <c r="C176" s="46"/>
      <c r="G176" s="96"/>
    </row>
    <row r="177">
      <c r="C177" s="46"/>
      <c r="G177" s="96"/>
    </row>
    <row r="178">
      <c r="C178" s="46"/>
      <c r="G178" s="96"/>
    </row>
    <row r="179">
      <c r="C179" s="46"/>
      <c r="G179" s="96"/>
    </row>
    <row r="180">
      <c r="C180" s="46"/>
      <c r="G180" s="96"/>
    </row>
    <row r="181">
      <c r="C181" s="46"/>
      <c r="G181" s="96"/>
    </row>
    <row r="182">
      <c r="C182" s="46"/>
      <c r="G182" s="96"/>
    </row>
    <row r="183">
      <c r="C183" s="46"/>
      <c r="G183" s="96"/>
    </row>
    <row r="184">
      <c r="C184" s="46"/>
      <c r="G184" s="96"/>
    </row>
    <row r="185">
      <c r="C185" s="46"/>
      <c r="G185" s="96"/>
    </row>
    <row r="186">
      <c r="C186" s="46"/>
      <c r="G186" s="96"/>
    </row>
    <row r="187">
      <c r="C187" s="46"/>
      <c r="G187" s="96"/>
    </row>
    <row r="188">
      <c r="C188" s="46"/>
      <c r="G188" s="96"/>
    </row>
    <row r="189">
      <c r="C189" s="46"/>
      <c r="G189" s="96"/>
    </row>
    <row r="190">
      <c r="C190" s="46"/>
      <c r="G190" s="96"/>
    </row>
    <row r="191">
      <c r="C191" s="46"/>
      <c r="G191" s="96"/>
    </row>
    <row r="192">
      <c r="C192" s="46"/>
      <c r="G192" s="96"/>
    </row>
    <row r="193">
      <c r="C193" s="46"/>
      <c r="G193" s="96"/>
    </row>
    <row r="194">
      <c r="C194" s="46"/>
      <c r="G194" s="96"/>
    </row>
    <row r="195">
      <c r="C195" s="46"/>
      <c r="G195" s="96"/>
    </row>
    <row r="196">
      <c r="C196" s="46"/>
      <c r="G196" s="96"/>
    </row>
    <row r="197">
      <c r="C197" s="46"/>
      <c r="G197" s="96"/>
    </row>
    <row r="198">
      <c r="C198" s="46"/>
      <c r="G198" s="96"/>
    </row>
    <row r="199">
      <c r="C199" s="46"/>
      <c r="G199" s="96"/>
    </row>
    <row r="200">
      <c r="C200" s="46"/>
      <c r="G200" s="96"/>
    </row>
    <row r="201">
      <c r="C201" s="46"/>
      <c r="G201" s="96"/>
    </row>
    <row r="202">
      <c r="C202" s="46"/>
      <c r="G202" s="96"/>
    </row>
    <row r="203">
      <c r="C203" s="46"/>
      <c r="G203" s="96"/>
    </row>
    <row r="204">
      <c r="C204" s="46"/>
      <c r="G204" s="96"/>
    </row>
    <row r="205">
      <c r="C205" s="46"/>
      <c r="G205" s="96"/>
    </row>
    <row r="206">
      <c r="C206" s="46"/>
      <c r="G206" s="96"/>
    </row>
    <row r="207">
      <c r="C207" s="46"/>
      <c r="G207" s="96"/>
    </row>
    <row r="208">
      <c r="C208" s="46"/>
      <c r="G208" s="96"/>
    </row>
    <row r="209">
      <c r="C209" s="46"/>
      <c r="G209" s="96"/>
    </row>
    <row r="210">
      <c r="C210" s="46"/>
      <c r="G210" s="96"/>
    </row>
    <row r="211">
      <c r="C211" s="46"/>
      <c r="G211" s="96"/>
    </row>
    <row r="212">
      <c r="C212" s="46"/>
      <c r="G212" s="96"/>
    </row>
    <row r="213">
      <c r="C213" s="46"/>
      <c r="G213" s="96"/>
    </row>
    <row r="214">
      <c r="C214" s="46"/>
      <c r="G214" s="96"/>
    </row>
    <row r="215">
      <c r="C215" s="46"/>
      <c r="G215" s="96"/>
    </row>
    <row r="216">
      <c r="C216" s="46"/>
      <c r="G216" s="96"/>
    </row>
    <row r="217">
      <c r="C217" s="46"/>
      <c r="G217" s="96"/>
    </row>
    <row r="218">
      <c r="C218" s="46"/>
      <c r="G218" s="96"/>
    </row>
    <row r="219">
      <c r="C219" s="46"/>
      <c r="G219" s="96"/>
    </row>
    <row r="220">
      <c r="C220" s="46"/>
      <c r="G220" s="96"/>
    </row>
    <row r="221">
      <c r="C221" s="46"/>
      <c r="G221" s="96"/>
    </row>
    <row r="222">
      <c r="C222" s="46"/>
      <c r="G222" s="96"/>
    </row>
    <row r="223">
      <c r="C223" s="46"/>
      <c r="G223" s="96"/>
    </row>
    <row r="224">
      <c r="C224" s="46"/>
      <c r="G224" s="96"/>
    </row>
    <row r="225">
      <c r="C225" s="46"/>
      <c r="G225" s="96"/>
    </row>
    <row r="226">
      <c r="C226" s="46"/>
      <c r="G226" s="96"/>
    </row>
    <row r="227">
      <c r="C227" s="46"/>
      <c r="G227" s="96"/>
    </row>
    <row r="228">
      <c r="C228" s="46"/>
      <c r="G228" s="96"/>
    </row>
    <row r="229">
      <c r="C229" s="46"/>
      <c r="G229" s="96"/>
    </row>
    <row r="230">
      <c r="C230" s="46"/>
      <c r="G230" s="96"/>
    </row>
    <row r="231">
      <c r="C231" s="46"/>
      <c r="G231" s="96"/>
    </row>
    <row r="232">
      <c r="C232" s="46"/>
      <c r="G232" s="96"/>
    </row>
    <row r="233">
      <c r="C233" s="46"/>
      <c r="G233" s="96"/>
    </row>
    <row r="234">
      <c r="C234" s="46"/>
      <c r="G234" s="96"/>
    </row>
    <row r="235">
      <c r="C235" s="46"/>
      <c r="G235" s="96"/>
    </row>
    <row r="236">
      <c r="C236" s="46"/>
      <c r="G236" s="96"/>
    </row>
    <row r="237">
      <c r="C237" s="46"/>
      <c r="G237" s="96"/>
    </row>
    <row r="238">
      <c r="C238" s="46"/>
      <c r="G238" s="96"/>
    </row>
    <row r="239">
      <c r="C239" s="46"/>
      <c r="G239" s="96"/>
    </row>
    <row r="240">
      <c r="C240" s="46"/>
      <c r="G240" s="96"/>
    </row>
    <row r="241">
      <c r="C241" s="46"/>
      <c r="G241" s="96"/>
    </row>
    <row r="242">
      <c r="C242" s="46"/>
      <c r="G242" s="96"/>
    </row>
    <row r="243">
      <c r="C243" s="46"/>
      <c r="G243" s="96"/>
    </row>
    <row r="244">
      <c r="C244" s="46"/>
      <c r="G244" s="96"/>
    </row>
    <row r="245">
      <c r="C245" s="46"/>
      <c r="G245" s="96"/>
    </row>
    <row r="246">
      <c r="C246" s="46"/>
      <c r="G246" s="96"/>
    </row>
    <row r="247">
      <c r="C247" s="46"/>
      <c r="G247" s="96"/>
    </row>
    <row r="248">
      <c r="C248" s="46"/>
      <c r="G248" s="96"/>
    </row>
    <row r="249">
      <c r="C249" s="46"/>
      <c r="G249" s="96"/>
    </row>
    <row r="250">
      <c r="C250" s="46"/>
      <c r="G250" s="96"/>
    </row>
    <row r="251">
      <c r="C251" s="46"/>
      <c r="G251" s="96"/>
    </row>
    <row r="252">
      <c r="C252" s="46"/>
      <c r="G252" s="96"/>
    </row>
    <row r="253">
      <c r="C253" s="46"/>
      <c r="G253" s="96"/>
    </row>
    <row r="254">
      <c r="C254" s="46"/>
      <c r="G254" s="96"/>
    </row>
    <row r="255">
      <c r="C255" s="46"/>
      <c r="G255" s="96"/>
    </row>
    <row r="256">
      <c r="C256" s="46"/>
      <c r="G256" s="96"/>
    </row>
    <row r="257">
      <c r="C257" s="46"/>
      <c r="G257" s="96"/>
    </row>
    <row r="258">
      <c r="C258" s="46"/>
      <c r="G258" s="96"/>
    </row>
    <row r="259">
      <c r="C259" s="46"/>
      <c r="G259" s="96"/>
    </row>
    <row r="260">
      <c r="C260" s="46"/>
      <c r="G260" s="96"/>
    </row>
    <row r="261">
      <c r="C261" s="46"/>
      <c r="G261" s="96"/>
    </row>
    <row r="262">
      <c r="C262" s="46"/>
      <c r="G262" s="96"/>
    </row>
    <row r="263">
      <c r="C263" s="46"/>
      <c r="G263" s="96"/>
    </row>
    <row r="264">
      <c r="C264" s="46"/>
      <c r="G264" s="96"/>
    </row>
    <row r="265">
      <c r="C265" s="46"/>
      <c r="G265" s="96"/>
    </row>
    <row r="266">
      <c r="C266" s="46"/>
      <c r="G266" s="96"/>
    </row>
    <row r="267">
      <c r="C267" s="46"/>
      <c r="G267" s="96"/>
    </row>
    <row r="268">
      <c r="C268" s="46"/>
      <c r="G268" s="96"/>
    </row>
    <row r="269">
      <c r="C269" s="46"/>
      <c r="G269" s="96"/>
    </row>
    <row r="270">
      <c r="C270" s="46"/>
      <c r="G270" s="96"/>
    </row>
    <row r="271">
      <c r="C271" s="46"/>
      <c r="G271" s="96"/>
    </row>
    <row r="272">
      <c r="C272" s="46"/>
      <c r="G272" s="96"/>
    </row>
    <row r="273">
      <c r="C273" s="46"/>
      <c r="G273" s="96"/>
    </row>
    <row r="274">
      <c r="C274" s="46"/>
      <c r="G274" s="96"/>
    </row>
    <row r="275">
      <c r="C275" s="46"/>
      <c r="G275" s="96"/>
    </row>
    <row r="276">
      <c r="C276" s="46"/>
      <c r="G276" s="96"/>
    </row>
    <row r="277">
      <c r="C277" s="46"/>
      <c r="G277" s="96"/>
    </row>
    <row r="278">
      <c r="C278" s="46"/>
      <c r="G278" s="96"/>
    </row>
    <row r="279">
      <c r="C279" s="46"/>
      <c r="G279" s="96"/>
    </row>
    <row r="280">
      <c r="C280" s="46"/>
      <c r="G280" s="96"/>
    </row>
    <row r="281">
      <c r="C281" s="46"/>
      <c r="G281" s="96"/>
    </row>
    <row r="282">
      <c r="C282" s="46"/>
      <c r="G282" s="96"/>
    </row>
    <row r="283">
      <c r="C283" s="46"/>
      <c r="G283" s="96"/>
    </row>
    <row r="284">
      <c r="C284" s="46"/>
      <c r="G284" s="96"/>
    </row>
    <row r="285">
      <c r="C285" s="46"/>
      <c r="G285" s="96"/>
    </row>
    <row r="286">
      <c r="C286" s="46"/>
      <c r="G286" s="96"/>
    </row>
    <row r="287">
      <c r="C287" s="46"/>
      <c r="G287" s="96"/>
    </row>
    <row r="288">
      <c r="C288" s="46"/>
      <c r="G288" s="96"/>
    </row>
    <row r="289">
      <c r="C289" s="46"/>
      <c r="G289" s="96"/>
    </row>
    <row r="290">
      <c r="C290" s="46"/>
      <c r="G290" s="96"/>
    </row>
    <row r="291">
      <c r="C291" s="46"/>
      <c r="G291" s="96"/>
    </row>
    <row r="292">
      <c r="C292" s="46"/>
      <c r="G292" s="96"/>
    </row>
    <row r="293">
      <c r="C293" s="46"/>
      <c r="G293" s="96"/>
    </row>
    <row r="294">
      <c r="C294" s="46"/>
      <c r="G294" s="96"/>
    </row>
    <row r="295">
      <c r="C295" s="46"/>
      <c r="G295" s="96"/>
    </row>
    <row r="296">
      <c r="C296" s="46"/>
      <c r="G296" s="96"/>
    </row>
    <row r="297">
      <c r="C297" s="46"/>
      <c r="G297" s="96"/>
    </row>
    <row r="298">
      <c r="C298" s="46"/>
      <c r="G298" s="96"/>
    </row>
    <row r="299">
      <c r="C299" s="46"/>
      <c r="G299" s="96"/>
    </row>
    <row r="300">
      <c r="C300" s="46"/>
      <c r="G300" s="96"/>
    </row>
    <row r="301">
      <c r="C301" s="46"/>
      <c r="G301" s="96"/>
    </row>
    <row r="302">
      <c r="C302" s="46"/>
      <c r="G302" s="96"/>
    </row>
    <row r="303">
      <c r="C303" s="46"/>
      <c r="G303" s="96"/>
    </row>
    <row r="304">
      <c r="C304" s="46"/>
      <c r="G304" s="96"/>
    </row>
    <row r="305">
      <c r="C305" s="46"/>
      <c r="G305" s="96"/>
    </row>
    <row r="306">
      <c r="C306" s="46"/>
      <c r="G306" s="96"/>
    </row>
    <row r="307">
      <c r="C307" s="46"/>
      <c r="G307" s="96"/>
    </row>
    <row r="308">
      <c r="C308" s="46"/>
      <c r="G308" s="96"/>
    </row>
    <row r="309">
      <c r="C309" s="46"/>
      <c r="G309" s="96"/>
    </row>
    <row r="310">
      <c r="C310" s="46"/>
      <c r="G310" s="96"/>
    </row>
    <row r="311">
      <c r="C311" s="46"/>
      <c r="G311" s="96"/>
    </row>
    <row r="312">
      <c r="C312" s="46"/>
      <c r="G312" s="96"/>
    </row>
    <row r="313">
      <c r="C313" s="46"/>
      <c r="G313" s="96"/>
    </row>
    <row r="314">
      <c r="C314" s="46"/>
      <c r="G314" s="96"/>
    </row>
    <row r="315">
      <c r="C315" s="46"/>
      <c r="G315" s="96"/>
    </row>
    <row r="316">
      <c r="C316" s="46"/>
      <c r="G316" s="96"/>
    </row>
    <row r="317">
      <c r="C317" s="46"/>
      <c r="G317" s="96"/>
    </row>
    <row r="318">
      <c r="C318" s="46"/>
      <c r="G318" s="96"/>
    </row>
    <row r="319">
      <c r="C319" s="46"/>
      <c r="G319" s="96"/>
    </row>
    <row r="320">
      <c r="C320" s="46"/>
      <c r="G320" s="96"/>
    </row>
    <row r="321">
      <c r="C321" s="46"/>
      <c r="G321" s="96"/>
    </row>
    <row r="322">
      <c r="C322" s="46"/>
      <c r="G322" s="96"/>
    </row>
    <row r="323">
      <c r="C323" s="46"/>
      <c r="G323" s="96"/>
    </row>
    <row r="324">
      <c r="C324" s="46"/>
      <c r="G324" s="96"/>
    </row>
    <row r="325">
      <c r="C325" s="46"/>
      <c r="G325" s="96"/>
    </row>
    <row r="326">
      <c r="C326" s="46"/>
      <c r="G326" s="96"/>
    </row>
    <row r="327">
      <c r="C327" s="46"/>
      <c r="G327" s="96"/>
    </row>
    <row r="328">
      <c r="C328" s="46"/>
      <c r="G328" s="96"/>
    </row>
    <row r="329">
      <c r="C329" s="46"/>
      <c r="G329" s="96"/>
    </row>
    <row r="330">
      <c r="C330" s="46"/>
      <c r="G330" s="96"/>
    </row>
    <row r="331">
      <c r="C331" s="46"/>
      <c r="G331" s="96"/>
    </row>
    <row r="332">
      <c r="C332" s="46"/>
      <c r="G332" s="96"/>
    </row>
    <row r="333">
      <c r="C333" s="46"/>
      <c r="G333" s="96"/>
    </row>
    <row r="334">
      <c r="C334" s="46"/>
      <c r="G334" s="96"/>
    </row>
    <row r="335">
      <c r="C335" s="46"/>
      <c r="G335" s="96"/>
    </row>
    <row r="336">
      <c r="C336" s="46"/>
      <c r="G336" s="96"/>
    </row>
    <row r="337">
      <c r="C337" s="46"/>
      <c r="G337" s="96"/>
    </row>
    <row r="338">
      <c r="C338" s="46"/>
      <c r="G338" s="96"/>
    </row>
    <row r="339">
      <c r="C339" s="46"/>
      <c r="G339" s="96"/>
    </row>
    <row r="340">
      <c r="C340" s="46"/>
      <c r="G340" s="96"/>
    </row>
    <row r="341">
      <c r="C341" s="46"/>
      <c r="G341" s="96"/>
    </row>
    <row r="342">
      <c r="C342" s="46"/>
      <c r="G342" s="96"/>
    </row>
    <row r="343">
      <c r="C343" s="46"/>
      <c r="G343" s="96"/>
    </row>
    <row r="344">
      <c r="C344" s="46"/>
      <c r="G344" s="96"/>
    </row>
    <row r="345">
      <c r="C345" s="46"/>
      <c r="G345" s="96"/>
    </row>
    <row r="346">
      <c r="C346" s="46"/>
      <c r="G346" s="96"/>
    </row>
    <row r="347">
      <c r="C347" s="46"/>
      <c r="G347" s="96"/>
    </row>
    <row r="348">
      <c r="C348" s="46"/>
      <c r="G348" s="96"/>
    </row>
    <row r="349">
      <c r="C349" s="46"/>
      <c r="G349" s="96"/>
    </row>
    <row r="350">
      <c r="C350" s="46"/>
      <c r="G350" s="96"/>
    </row>
    <row r="351">
      <c r="C351" s="46"/>
      <c r="G351" s="96"/>
    </row>
    <row r="352">
      <c r="C352" s="46"/>
      <c r="G352" s="96"/>
    </row>
    <row r="353">
      <c r="C353" s="46"/>
      <c r="G353" s="96"/>
    </row>
    <row r="354">
      <c r="C354" s="46"/>
      <c r="G354" s="96"/>
    </row>
    <row r="355">
      <c r="C355" s="46"/>
      <c r="G355" s="96"/>
    </row>
    <row r="356">
      <c r="C356" s="46"/>
      <c r="G356" s="96"/>
    </row>
    <row r="357">
      <c r="C357" s="46"/>
      <c r="G357" s="96"/>
    </row>
    <row r="358">
      <c r="C358" s="46"/>
      <c r="G358" s="96"/>
    </row>
    <row r="359">
      <c r="C359" s="46"/>
      <c r="G359" s="96"/>
    </row>
    <row r="360">
      <c r="C360" s="46"/>
      <c r="G360" s="96"/>
    </row>
    <row r="361">
      <c r="C361" s="46"/>
      <c r="G361" s="96"/>
    </row>
    <row r="362">
      <c r="C362" s="46"/>
      <c r="G362" s="96"/>
    </row>
    <row r="363">
      <c r="C363" s="46"/>
      <c r="G363" s="96"/>
    </row>
    <row r="364">
      <c r="C364" s="46"/>
      <c r="G364" s="96"/>
    </row>
    <row r="365">
      <c r="C365" s="46"/>
      <c r="G365" s="96"/>
    </row>
    <row r="366">
      <c r="C366" s="46"/>
      <c r="G366" s="96"/>
    </row>
    <row r="367">
      <c r="C367" s="46"/>
      <c r="G367" s="96"/>
    </row>
    <row r="368">
      <c r="C368" s="46"/>
      <c r="G368" s="96"/>
    </row>
    <row r="369">
      <c r="C369" s="46"/>
      <c r="G369" s="96"/>
    </row>
    <row r="370">
      <c r="C370" s="46"/>
      <c r="G370" s="96"/>
    </row>
    <row r="371">
      <c r="C371" s="46"/>
      <c r="G371" s="96"/>
    </row>
    <row r="372">
      <c r="C372" s="46"/>
      <c r="G372" s="96"/>
    </row>
    <row r="373">
      <c r="C373" s="46"/>
      <c r="G373" s="96"/>
    </row>
    <row r="374">
      <c r="C374" s="46"/>
      <c r="G374" s="96"/>
    </row>
    <row r="375">
      <c r="C375" s="46"/>
      <c r="G375" s="96"/>
    </row>
    <row r="376">
      <c r="C376" s="46"/>
      <c r="G376" s="96"/>
    </row>
    <row r="377">
      <c r="C377" s="46"/>
      <c r="G377" s="96"/>
    </row>
    <row r="378">
      <c r="C378" s="46"/>
      <c r="G378" s="96"/>
    </row>
    <row r="379">
      <c r="C379" s="46"/>
      <c r="G379" s="96"/>
    </row>
    <row r="380">
      <c r="C380" s="46"/>
      <c r="G380" s="96"/>
    </row>
    <row r="381">
      <c r="C381" s="46"/>
      <c r="G381" s="96"/>
    </row>
    <row r="382">
      <c r="C382" s="46"/>
      <c r="G382" s="96"/>
    </row>
    <row r="383">
      <c r="C383" s="46"/>
      <c r="G383" s="96"/>
    </row>
    <row r="384">
      <c r="C384" s="46"/>
      <c r="G384" s="96"/>
    </row>
    <row r="385">
      <c r="C385" s="46"/>
      <c r="G385" s="96"/>
    </row>
    <row r="386">
      <c r="C386" s="46"/>
      <c r="G386" s="96"/>
    </row>
    <row r="387">
      <c r="C387" s="46"/>
      <c r="G387" s="96"/>
    </row>
    <row r="388">
      <c r="C388" s="46"/>
      <c r="G388" s="96"/>
    </row>
    <row r="389">
      <c r="C389" s="46"/>
      <c r="G389" s="96"/>
    </row>
    <row r="390">
      <c r="C390" s="46"/>
      <c r="G390" s="96"/>
    </row>
    <row r="391">
      <c r="C391" s="46"/>
      <c r="G391" s="96"/>
    </row>
    <row r="392">
      <c r="C392" s="46"/>
      <c r="G392" s="96"/>
    </row>
    <row r="393">
      <c r="C393" s="46"/>
      <c r="G393" s="96"/>
    </row>
    <row r="394">
      <c r="C394" s="46"/>
      <c r="G394" s="96"/>
    </row>
    <row r="395">
      <c r="C395" s="46"/>
      <c r="G395" s="96"/>
    </row>
    <row r="396">
      <c r="C396" s="46"/>
      <c r="G396" s="96"/>
    </row>
    <row r="397">
      <c r="C397" s="46"/>
      <c r="G397" s="96"/>
    </row>
    <row r="398">
      <c r="C398" s="46"/>
      <c r="G398" s="96"/>
    </row>
    <row r="399">
      <c r="C399" s="46"/>
      <c r="G399" s="96"/>
    </row>
    <row r="400">
      <c r="C400" s="46"/>
      <c r="G400" s="96"/>
    </row>
    <row r="401">
      <c r="C401" s="46"/>
      <c r="G401" s="96"/>
    </row>
    <row r="402">
      <c r="C402" s="46"/>
      <c r="G402" s="96"/>
    </row>
    <row r="403">
      <c r="C403" s="46"/>
      <c r="G403" s="96"/>
    </row>
    <row r="404">
      <c r="C404" s="46"/>
      <c r="G404" s="96"/>
    </row>
    <row r="405">
      <c r="C405" s="46"/>
      <c r="G405" s="96"/>
    </row>
    <row r="406">
      <c r="C406" s="46"/>
      <c r="G406" s="96"/>
    </row>
    <row r="407">
      <c r="C407" s="46"/>
      <c r="G407" s="96"/>
    </row>
    <row r="408">
      <c r="C408" s="46"/>
      <c r="G408" s="96"/>
    </row>
    <row r="409">
      <c r="C409" s="46"/>
      <c r="G409" s="96"/>
    </row>
    <row r="410">
      <c r="C410" s="46"/>
      <c r="G410" s="96"/>
    </row>
    <row r="411">
      <c r="C411" s="46"/>
      <c r="G411" s="96"/>
    </row>
    <row r="412">
      <c r="C412" s="46"/>
      <c r="G412" s="96"/>
    </row>
    <row r="413">
      <c r="C413" s="46"/>
      <c r="G413" s="96"/>
    </row>
    <row r="414">
      <c r="C414" s="46"/>
      <c r="G414" s="96"/>
    </row>
    <row r="415">
      <c r="C415" s="46"/>
      <c r="G415" s="96"/>
    </row>
    <row r="416">
      <c r="C416" s="46"/>
      <c r="G416" s="96"/>
    </row>
    <row r="417">
      <c r="C417" s="46"/>
      <c r="G417" s="96"/>
    </row>
    <row r="418">
      <c r="C418" s="46"/>
      <c r="G418" s="96"/>
    </row>
    <row r="419">
      <c r="C419" s="46"/>
      <c r="G419" s="96"/>
    </row>
    <row r="420">
      <c r="C420" s="46"/>
      <c r="G420" s="96"/>
    </row>
    <row r="421">
      <c r="C421" s="46"/>
      <c r="G421" s="96"/>
    </row>
    <row r="422">
      <c r="C422" s="46"/>
      <c r="G422" s="96"/>
    </row>
    <row r="423">
      <c r="C423" s="46"/>
      <c r="G423" s="96"/>
    </row>
    <row r="424">
      <c r="C424" s="46"/>
      <c r="G424" s="96"/>
    </row>
    <row r="425">
      <c r="C425" s="46"/>
      <c r="G425" s="96"/>
    </row>
    <row r="426">
      <c r="C426" s="46"/>
      <c r="G426" s="96"/>
    </row>
    <row r="427">
      <c r="C427" s="46"/>
      <c r="G427" s="96"/>
    </row>
    <row r="428">
      <c r="C428" s="46"/>
      <c r="G428" s="96"/>
    </row>
    <row r="429">
      <c r="C429" s="46"/>
      <c r="G429" s="96"/>
    </row>
    <row r="430">
      <c r="C430" s="46"/>
      <c r="G430" s="96"/>
    </row>
    <row r="431">
      <c r="C431" s="46"/>
      <c r="G431" s="96"/>
    </row>
    <row r="432">
      <c r="C432" s="46"/>
      <c r="G432" s="96"/>
    </row>
    <row r="433">
      <c r="C433" s="46"/>
      <c r="G433" s="96"/>
    </row>
    <row r="434">
      <c r="C434" s="46"/>
      <c r="G434" s="96"/>
    </row>
    <row r="435">
      <c r="C435" s="46"/>
      <c r="G435" s="96"/>
    </row>
    <row r="436">
      <c r="C436" s="46"/>
      <c r="G436" s="96"/>
    </row>
    <row r="437">
      <c r="C437" s="46"/>
      <c r="G437" s="96"/>
    </row>
    <row r="438">
      <c r="C438" s="46"/>
      <c r="G438" s="96"/>
    </row>
    <row r="439">
      <c r="C439" s="46"/>
      <c r="G439" s="96"/>
    </row>
    <row r="440">
      <c r="C440" s="46"/>
      <c r="G440" s="96"/>
    </row>
    <row r="441">
      <c r="C441" s="46"/>
      <c r="G441" s="96"/>
    </row>
    <row r="442">
      <c r="C442" s="46"/>
      <c r="G442" s="96"/>
    </row>
    <row r="443">
      <c r="C443" s="46"/>
      <c r="G443" s="96"/>
    </row>
    <row r="444">
      <c r="C444" s="46"/>
      <c r="G444" s="96"/>
    </row>
    <row r="445">
      <c r="C445" s="46"/>
      <c r="G445" s="96"/>
    </row>
    <row r="446">
      <c r="C446" s="46"/>
      <c r="G446" s="96"/>
    </row>
    <row r="447">
      <c r="C447" s="46"/>
      <c r="G447" s="96"/>
    </row>
    <row r="448">
      <c r="C448" s="46"/>
      <c r="G448" s="96"/>
    </row>
    <row r="449">
      <c r="C449" s="46"/>
      <c r="G449" s="96"/>
    </row>
    <row r="450">
      <c r="C450" s="46"/>
      <c r="G450" s="96"/>
    </row>
    <row r="451">
      <c r="C451" s="46"/>
      <c r="G451" s="96"/>
    </row>
    <row r="452">
      <c r="C452" s="46"/>
      <c r="G452" s="96"/>
    </row>
    <row r="453">
      <c r="C453" s="46"/>
      <c r="G453" s="96"/>
    </row>
    <row r="454">
      <c r="C454" s="46"/>
      <c r="G454" s="96"/>
    </row>
    <row r="455">
      <c r="C455" s="46"/>
      <c r="G455" s="96"/>
    </row>
    <row r="456">
      <c r="C456" s="46"/>
      <c r="G456" s="96"/>
    </row>
    <row r="457">
      <c r="C457" s="46"/>
      <c r="G457" s="96"/>
    </row>
    <row r="458">
      <c r="C458" s="46"/>
      <c r="G458" s="96"/>
    </row>
    <row r="459">
      <c r="C459" s="46"/>
      <c r="G459" s="96"/>
    </row>
    <row r="460">
      <c r="C460" s="46"/>
      <c r="G460" s="96"/>
    </row>
    <row r="461">
      <c r="C461" s="46"/>
      <c r="G461" s="96"/>
    </row>
    <row r="462">
      <c r="C462" s="46"/>
      <c r="G462" s="96"/>
    </row>
    <row r="463">
      <c r="C463" s="46"/>
      <c r="G463" s="96"/>
    </row>
    <row r="464">
      <c r="C464" s="46"/>
      <c r="G464" s="96"/>
    </row>
    <row r="465">
      <c r="C465" s="46"/>
      <c r="G465" s="96"/>
    </row>
    <row r="466">
      <c r="C466" s="46"/>
      <c r="G466" s="96"/>
    </row>
    <row r="467">
      <c r="C467" s="46"/>
      <c r="G467" s="96"/>
    </row>
    <row r="468">
      <c r="C468" s="46"/>
      <c r="G468" s="96"/>
    </row>
    <row r="469">
      <c r="C469" s="46"/>
      <c r="G469" s="96"/>
    </row>
    <row r="470">
      <c r="C470" s="46"/>
      <c r="G470" s="96"/>
    </row>
    <row r="471">
      <c r="C471" s="46"/>
      <c r="G471" s="96"/>
    </row>
    <row r="472">
      <c r="C472" s="46"/>
      <c r="G472" s="96"/>
    </row>
    <row r="473">
      <c r="C473" s="46"/>
      <c r="G473" s="96"/>
    </row>
    <row r="474">
      <c r="C474" s="46"/>
      <c r="G474" s="96"/>
    </row>
    <row r="475">
      <c r="C475" s="46"/>
      <c r="G475" s="96"/>
    </row>
    <row r="476">
      <c r="C476" s="46"/>
      <c r="G476" s="96"/>
    </row>
    <row r="477">
      <c r="C477" s="46"/>
      <c r="G477" s="96"/>
    </row>
    <row r="478">
      <c r="C478" s="46"/>
      <c r="G478" s="96"/>
    </row>
    <row r="479">
      <c r="C479" s="46"/>
      <c r="G479" s="96"/>
    </row>
    <row r="480">
      <c r="C480" s="46"/>
      <c r="G480" s="96"/>
    </row>
    <row r="481">
      <c r="C481" s="46"/>
      <c r="G481" s="96"/>
    </row>
    <row r="482">
      <c r="C482" s="46"/>
      <c r="G482" s="96"/>
    </row>
    <row r="483">
      <c r="C483" s="46"/>
      <c r="G483" s="96"/>
    </row>
    <row r="484">
      <c r="C484" s="46"/>
      <c r="G484" s="96"/>
    </row>
    <row r="485">
      <c r="C485" s="46"/>
      <c r="G485" s="96"/>
    </row>
    <row r="486">
      <c r="C486" s="46"/>
      <c r="G486" s="96"/>
    </row>
    <row r="487">
      <c r="C487" s="46"/>
      <c r="G487" s="96"/>
    </row>
    <row r="488">
      <c r="C488" s="46"/>
      <c r="G488" s="96"/>
    </row>
    <row r="489">
      <c r="C489" s="46"/>
      <c r="G489" s="96"/>
    </row>
    <row r="490">
      <c r="C490" s="46"/>
      <c r="G490" s="96"/>
    </row>
    <row r="491">
      <c r="C491" s="46"/>
      <c r="G491" s="96"/>
    </row>
    <row r="492">
      <c r="C492" s="46"/>
      <c r="G492" s="96"/>
    </row>
    <row r="493">
      <c r="C493" s="46"/>
      <c r="G493" s="96"/>
    </row>
    <row r="494">
      <c r="C494" s="46"/>
      <c r="G494" s="96"/>
    </row>
    <row r="495">
      <c r="C495" s="46"/>
      <c r="G495" s="96"/>
    </row>
    <row r="496">
      <c r="C496" s="46"/>
      <c r="G496" s="96"/>
    </row>
    <row r="497">
      <c r="C497" s="46"/>
      <c r="G497" s="96"/>
    </row>
    <row r="498">
      <c r="C498" s="46"/>
      <c r="G498" s="96"/>
    </row>
    <row r="499">
      <c r="C499" s="46"/>
      <c r="G499" s="96"/>
    </row>
    <row r="500">
      <c r="C500" s="46"/>
      <c r="G500" s="96"/>
    </row>
    <row r="501">
      <c r="C501" s="46"/>
      <c r="G501" s="96"/>
    </row>
    <row r="502">
      <c r="C502" s="46"/>
      <c r="G502" s="96"/>
    </row>
    <row r="503">
      <c r="C503" s="46"/>
      <c r="G503" s="96"/>
    </row>
    <row r="504">
      <c r="C504" s="46"/>
      <c r="G504" s="96"/>
    </row>
    <row r="505">
      <c r="C505" s="46"/>
      <c r="G505" s="96"/>
    </row>
    <row r="506">
      <c r="C506" s="46"/>
      <c r="G506" s="96"/>
    </row>
    <row r="507">
      <c r="C507" s="46"/>
      <c r="G507" s="96"/>
    </row>
    <row r="508">
      <c r="C508" s="46"/>
      <c r="G508" s="96"/>
    </row>
    <row r="509">
      <c r="C509" s="46"/>
      <c r="G509" s="96"/>
    </row>
    <row r="510">
      <c r="C510" s="46"/>
      <c r="G510" s="96"/>
    </row>
    <row r="511">
      <c r="C511" s="46"/>
      <c r="G511" s="96"/>
    </row>
    <row r="512">
      <c r="C512" s="46"/>
      <c r="G512" s="96"/>
    </row>
    <row r="513">
      <c r="C513" s="46"/>
      <c r="G513" s="96"/>
    </row>
    <row r="514">
      <c r="C514" s="46"/>
      <c r="G514" s="96"/>
    </row>
    <row r="515">
      <c r="C515" s="46"/>
      <c r="G515" s="96"/>
    </row>
    <row r="516">
      <c r="C516" s="46"/>
      <c r="G516" s="96"/>
    </row>
    <row r="517">
      <c r="C517" s="46"/>
      <c r="G517" s="96"/>
    </row>
    <row r="518">
      <c r="C518" s="46"/>
      <c r="G518" s="96"/>
    </row>
    <row r="519">
      <c r="C519" s="46"/>
      <c r="G519" s="96"/>
    </row>
    <row r="520">
      <c r="C520" s="46"/>
      <c r="G520" s="96"/>
    </row>
    <row r="521">
      <c r="C521" s="46"/>
      <c r="G521" s="96"/>
    </row>
    <row r="522">
      <c r="C522" s="46"/>
      <c r="G522" s="96"/>
    </row>
    <row r="523">
      <c r="C523" s="46"/>
      <c r="G523" s="96"/>
    </row>
    <row r="524">
      <c r="C524" s="46"/>
      <c r="G524" s="96"/>
    </row>
    <row r="525">
      <c r="C525" s="46"/>
      <c r="G525" s="96"/>
    </row>
    <row r="526">
      <c r="C526" s="46"/>
      <c r="G526" s="96"/>
    </row>
    <row r="527">
      <c r="C527" s="46"/>
      <c r="G527" s="96"/>
    </row>
    <row r="528">
      <c r="C528" s="46"/>
      <c r="G528" s="96"/>
    </row>
    <row r="529">
      <c r="C529" s="46"/>
      <c r="G529" s="96"/>
    </row>
    <row r="530">
      <c r="C530" s="46"/>
      <c r="G530" s="96"/>
    </row>
    <row r="531">
      <c r="C531" s="46"/>
      <c r="G531" s="96"/>
    </row>
    <row r="532">
      <c r="C532" s="46"/>
      <c r="G532" s="96"/>
    </row>
    <row r="533">
      <c r="C533" s="46"/>
      <c r="G533" s="96"/>
    </row>
    <row r="534">
      <c r="C534" s="46"/>
      <c r="G534" s="96"/>
    </row>
    <row r="535">
      <c r="C535" s="46"/>
      <c r="G535" s="96"/>
    </row>
    <row r="536">
      <c r="C536" s="46"/>
      <c r="G536" s="96"/>
    </row>
    <row r="537">
      <c r="C537" s="46"/>
      <c r="G537" s="96"/>
    </row>
    <row r="538">
      <c r="C538" s="46"/>
      <c r="G538" s="96"/>
    </row>
    <row r="539">
      <c r="C539" s="46"/>
      <c r="G539" s="96"/>
    </row>
    <row r="540">
      <c r="C540" s="46"/>
      <c r="G540" s="96"/>
    </row>
    <row r="541">
      <c r="C541" s="46"/>
      <c r="G541" s="96"/>
    </row>
    <row r="542">
      <c r="C542" s="46"/>
      <c r="G542" s="96"/>
    </row>
    <row r="543">
      <c r="C543" s="46"/>
      <c r="G543" s="96"/>
    </row>
    <row r="544">
      <c r="C544" s="46"/>
      <c r="G544" s="96"/>
    </row>
    <row r="545">
      <c r="C545" s="46"/>
      <c r="G545" s="96"/>
    </row>
    <row r="546">
      <c r="C546" s="46"/>
      <c r="G546" s="96"/>
    </row>
    <row r="547">
      <c r="C547" s="46"/>
      <c r="G547" s="96"/>
    </row>
    <row r="548">
      <c r="C548" s="46"/>
      <c r="G548" s="96"/>
    </row>
    <row r="549">
      <c r="C549" s="46"/>
      <c r="G549" s="96"/>
    </row>
    <row r="550">
      <c r="C550" s="46"/>
      <c r="G550" s="96"/>
    </row>
    <row r="551">
      <c r="C551" s="46"/>
      <c r="G551" s="96"/>
    </row>
    <row r="552">
      <c r="C552" s="46"/>
      <c r="G552" s="96"/>
    </row>
    <row r="553">
      <c r="C553" s="46"/>
      <c r="G553" s="96"/>
    </row>
    <row r="554">
      <c r="C554" s="46"/>
      <c r="G554" s="96"/>
    </row>
    <row r="555">
      <c r="C555" s="46"/>
      <c r="G555" s="96"/>
    </row>
    <row r="556">
      <c r="C556" s="46"/>
      <c r="G556" s="96"/>
    </row>
    <row r="557">
      <c r="C557" s="46"/>
      <c r="G557" s="96"/>
    </row>
    <row r="558">
      <c r="C558" s="46"/>
      <c r="G558" s="96"/>
    </row>
    <row r="559">
      <c r="C559" s="46"/>
      <c r="G559" s="96"/>
    </row>
    <row r="560">
      <c r="C560" s="46"/>
      <c r="G560" s="96"/>
    </row>
    <row r="561">
      <c r="C561" s="46"/>
      <c r="G561" s="96"/>
    </row>
    <row r="562">
      <c r="C562" s="46"/>
      <c r="G562" s="96"/>
    </row>
    <row r="563">
      <c r="C563" s="46"/>
      <c r="G563" s="96"/>
    </row>
    <row r="564">
      <c r="C564" s="46"/>
      <c r="G564" s="96"/>
    </row>
    <row r="565">
      <c r="C565" s="46"/>
      <c r="G565" s="96"/>
    </row>
    <row r="566">
      <c r="C566" s="46"/>
      <c r="G566" s="96"/>
    </row>
    <row r="567">
      <c r="C567" s="46"/>
      <c r="G567" s="96"/>
    </row>
    <row r="568">
      <c r="C568" s="46"/>
      <c r="G568" s="96"/>
    </row>
    <row r="569">
      <c r="C569" s="46"/>
      <c r="G569" s="96"/>
    </row>
    <row r="570">
      <c r="C570" s="46"/>
      <c r="G570" s="96"/>
    </row>
    <row r="571">
      <c r="C571" s="46"/>
      <c r="G571" s="96"/>
    </row>
    <row r="572">
      <c r="C572" s="46"/>
      <c r="G572" s="96"/>
    </row>
    <row r="573">
      <c r="C573" s="46"/>
      <c r="G573" s="96"/>
    </row>
    <row r="574">
      <c r="C574" s="46"/>
      <c r="G574" s="96"/>
    </row>
    <row r="575">
      <c r="C575" s="46"/>
      <c r="G575" s="96"/>
    </row>
    <row r="576">
      <c r="C576" s="46"/>
      <c r="G576" s="96"/>
    </row>
    <row r="577">
      <c r="C577" s="46"/>
      <c r="G577" s="96"/>
    </row>
    <row r="578">
      <c r="C578" s="46"/>
      <c r="G578" s="96"/>
    </row>
    <row r="579">
      <c r="C579" s="46"/>
      <c r="G579" s="96"/>
    </row>
    <row r="580">
      <c r="C580" s="46"/>
      <c r="G580" s="96"/>
    </row>
    <row r="581">
      <c r="C581" s="46"/>
      <c r="G581" s="96"/>
    </row>
    <row r="582">
      <c r="C582" s="46"/>
      <c r="G582" s="96"/>
    </row>
    <row r="583">
      <c r="C583" s="46"/>
      <c r="G583" s="96"/>
    </row>
    <row r="584">
      <c r="C584" s="46"/>
      <c r="G584" s="96"/>
    </row>
    <row r="585">
      <c r="C585" s="46"/>
      <c r="G585" s="96"/>
    </row>
    <row r="586">
      <c r="C586" s="46"/>
      <c r="G586" s="96"/>
    </row>
    <row r="587">
      <c r="C587" s="46"/>
      <c r="G587" s="96"/>
    </row>
    <row r="588">
      <c r="C588" s="46"/>
      <c r="G588" s="96"/>
    </row>
    <row r="589">
      <c r="C589" s="46"/>
      <c r="G589" s="96"/>
    </row>
    <row r="590">
      <c r="C590" s="46"/>
      <c r="G590" s="96"/>
    </row>
    <row r="591">
      <c r="C591" s="46"/>
      <c r="G591" s="96"/>
    </row>
    <row r="592">
      <c r="C592" s="46"/>
      <c r="G592" s="96"/>
    </row>
    <row r="593">
      <c r="C593" s="46"/>
      <c r="G593" s="96"/>
    </row>
    <row r="594">
      <c r="C594" s="46"/>
      <c r="G594" s="96"/>
    </row>
    <row r="595">
      <c r="C595" s="46"/>
      <c r="G595" s="96"/>
    </row>
    <row r="596">
      <c r="C596" s="46"/>
      <c r="G596" s="96"/>
    </row>
    <row r="597">
      <c r="C597" s="46"/>
      <c r="G597" s="96"/>
    </row>
    <row r="598">
      <c r="C598" s="46"/>
      <c r="G598" s="96"/>
    </row>
    <row r="599">
      <c r="C599" s="46"/>
      <c r="G599" s="96"/>
    </row>
    <row r="600">
      <c r="C600" s="46"/>
      <c r="G600" s="96"/>
    </row>
    <row r="601">
      <c r="C601" s="46"/>
      <c r="G601" s="96"/>
    </row>
    <row r="602">
      <c r="C602" s="46"/>
      <c r="G602" s="96"/>
    </row>
    <row r="603">
      <c r="C603" s="46"/>
      <c r="G603" s="96"/>
    </row>
    <row r="604">
      <c r="C604" s="46"/>
      <c r="G604" s="96"/>
    </row>
    <row r="605">
      <c r="C605" s="46"/>
      <c r="G605" s="96"/>
    </row>
    <row r="606">
      <c r="C606" s="46"/>
      <c r="G606" s="96"/>
    </row>
    <row r="607">
      <c r="C607" s="46"/>
      <c r="G607" s="96"/>
    </row>
    <row r="608">
      <c r="C608" s="46"/>
      <c r="G608" s="96"/>
    </row>
    <row r="609">
      <c r="C609" s="46"/>
      <c r="G609" s="96"/>
    </row>
    <row r="610">
      <c r="C610" s="46"/>
      <c r="G610" s="96"/>
    </row>
    <row r="611">
      <c r="C611" s="46"/>
      <c r="G611" s="96"/>
    </row>
    <row r="612">
      <c r="C612" s="46"/>
      <c r="G612" s="96"/>
    </row>
    <row r="613">
      <c r="C613" s="46"/>
      <c r="G613" s="96"/>
    </row>
    <row r="614">
      <c r="C614" s="46"/>
      <c r="G614" s="96"/>
    </row>
    <row r="615">
      <c r="C615" s="46"/>
      <c r="G615" s="96"/>
    </row>
    <row r="616">
      <c r="C616" s="46"/>
      <c r="G616" s="96"/>
    </row>
    <row r="617">
      <c r="C617" s="46"/>
      <c r="G617" s="96"/>
    </row>
    <row r="618">
      <c r="C618" s="46"/>
      <c r="G618" s="96"/>
    </row>
    <row r="619">
      <c r="C619" s="46"/>
      <c r="G619" s="96"/>
    </row>
    <row r="620">
      <c r="C620" s="46"/>
      <c r="G620" s="96"/>
    </row>
    <row r="621">
      <c r="C621" s="46"/>
      <c r="G621" s="96"/>
    </row>
    <row r="622">
      <c r="C622" s="46"/>
      <c r="G622" s="96"/>
    </row>
    <row r="623">
      <c r="C623" s="46"/>
      <c r="G623" s="96"/>
    </row>
    <row r="624">
      <c r="C624" s="46"/>
      <c r="G624" s="96"/>
    </row>
    <row r="625">
      <c r="C625" s="46"/>
      <c r="G625" s="96"/>
    </row>
    <row r="626">
      <c r="C626" s="46"/>
      <c r="G626" s="96"/>
    </row>
    <row r="627">
      <c r="C627" s="46"/>
      <c r="G627" s="96"/>
    </row>
    <row r="628">
      <c r="C628" s="46"/>
      <c r="G628" s="96"/>
    </row>
    <row r="629">
      <c r="C629" s="46"/>
      <c r="G629" s="96"/>
    </row>
    <row r="630">
      <c r="C630" s="46"/>
      <c r="G630" s="96"/>
    </row>
    <row r="631">
      <c r="C631" s="46"/>
      <c r="G631" s="96"/>
    </row>
    <row r="632">
      <c r="C632" s="46"/>
      <c r="G632" s="96"/>
    </row>
    <row r="633">
      <c r="C633" s="46"/>
      <c r="G633" s="96"/>
    </row>
    <row r="634">
      <c r="C634" s="46"/>
      <c r="G634" s="96"/>
    </row>
    <row r="635">
      <c r="C635" s="46"/>
      <c r="G635" s="96"/>
    </row>
    <row r="636">
      <c r="C636" s="46"/>
      <c r="G636" s="96"/>
    </row>
    <row r="637">
      <c r="C637" s="46"/>
      <c r="G637" s="96"/>
    </row>
    <row r="638">
      <c r="C638" s="46"/>
      <c r="G638" s="96"/>
    </row>
    <row r="639">
      <c r="C639" s="46"/>
      <c r="G639" s="96"/>
    </row>
    <row r="640">
      <c r="C640" s="46"/>
      <c r="G640" s="96"/>
    </row>
    <row r="641">
      <c r="C641" s="46"/>
      <c r="G641" s="96"/>
    </row>
    <row r="642">
      <c r="C642" s="46"/>
      <c r="G642" s="96"/>
    </row>
    <row r="643">
      <c r="C643" s="46"/>
      <c r="G643" s="96"/>
    </row>
    <row r="644">
      <c r="C644" s="46"/>
      <c r="G644" s="96"/>
    </row>
    <row r="645">
      <c r="C645" s="46"/>
      <c r="G645" s="96"/>
    </row>
    <row r="646">
      <c r="C646" s="46"/>
      <c r="G646" s="96"/>
    </row>
    <row r="647">
      <c r="C647" s="46"/>
      <c r="G647" s="96"/>
    </row>
    <row r="648">
      <c r="C648" s="46"/>
      <c r="G648" s="96"/>
    </row>
    <row r="649">
      <c r="C649" s="46"/>
      <c r="G649" s="96"/>
    </row>
    <row r="650">
      <c r="C650" s="46"/>
      <c r="G650" s="96"/>
    </row>
    <row r="651">
      <c r="C651" s="46"/>
      <c r="G651" s="96"/>
    </row>
    <row r="652">
      <c r="C652" s="46"/>
      <c r="G652" s="96"/>
    </row>
    <row r="653">
      <c r="C653" s="46"/>
      <c r="G653" s="96"/>
    </row>
    <row r="654">
      <c r="C654" s="46"/>
      <c r="G654" s="96"/>
    </row>
    <row r="655">
      <c r="C655" s="46"/>
      <c r="G655" s="96"/>
    </row>
    <row r="656">
      <c r="C656" s="46"/>
      <c r="G656" s="96"/>
    </row>
    <row r="657">
      <c r="C657" s="46"/>
      <c r="G657" s="96"/>
    </row>
    <row r="658">
      <c r="C658" s="46"/>
      <c r="G658" s="96"/>
    </row>
    <row r="659">
      <c r="C659" s="46"/>
      <c r="G659" s="96"/>
    </row>
    <row r="660">
      <c r="C660" s="46"/>
      <c r="G660" s="96"/>
    </row>
    <row r="661">
      <c r="C661" s="46"/>
      <c r="G661" s="96"/>
    </row>
    <row r="662">
      <c r="C662" s="46"/>
      <c r="G662" s="96"/>
    </row>
    <row r="663">
      <c r="C663" s="46"/>
      <c r="G663" s="96"/>
    </row>
    <row r="664">
      <c r="C664" s="46"/>
      <c r="G664" s="96"/>
    </row>
    <row r="665">
      <c r="C665" s="46"/>
      <c r="G665" s="96"/>
    </row>
    <row r="666">
      <c r="C666" s="46"/>
      <c r="G666" s="96"/>
    </row>
    <row r="667">
      <c r="C667" s="46"/>
      <c r="G667" s="96"/>
    </row>
    <row r="668">
      <c r="C668" s="46"/>
      <c r="G668" s="96"/>
    </row>
    <row r="669">
      <c r="C669" s="46"/>
      <c r="G669" s="96"/>
    </row>
    <row r="670">
      <c r="C670" s="46"/>
      <c r="G670" s="96"/>
    </row>
    <row r="671">
      <c r="C671" s="46"/>
      <c r="G671" s="96"/>
    </row>
    <row r="672">
      <c r="C672" s="46"/>
      <c r="G672" s="96"/>
    </row>
    <row r="673">
      <c r="C673" s="46"/>
      <c r="G673" s="96"/>
    </row>
    <row r="674">
      <c r="C674" s="46"/>
      <c r="G674" s="96"/>
    </row>
    <row r="675">
      <c r="C675" s="46"/>
      <c r="G675" s="96"/>
    </row>
    <row r="676">
      <c r="C676" s="46"/>
      <c r="G676" s="96"/>
    </row>
    <row r="677">
      <c r="C677" s="46"/>
      <c r="G677" s="96"/>
    </row>
    <row r="678">
      <c r="C678" s="46"/>
      <c r="G678" s="96"/>
    </row>
    <row r="679">
      <c r="C679" s="46"/>
      <c r="G679" s="96"/>
    </row>
    <row r="680">
      <c r="C680" s="46"/>
      <c r="G680" s="96"/>
    </row>
    <row r="681">
      <c r="C681" s="46"/>
      <c r="G681" s="96"/>
    </row>
    <row r="682">
      <c r="C682" s="46"/>
      <c r="G682" s="96"/>
    </row>
    <row r="683">
      <c r="C683" s="46"/>
      <c r="G683" s="96"/>
    </row>
    <row r="684">
      <c r="C684" s="46"/>
      <c r="G684" s="96"/>
    </row>
    <row r="685">
      <c r="C685" s="46"/>
      <c r="G685" s="96"/>
    </row>
    <row r="686">
      <c r="C686" s="46"/>
      <c r="G686" s="96"/>
    </row>
    <row r="687">
      <c r="C687" s="46"/>
      <c r="G687" s="96"/>
    </row>
    <row r="688">
      <c r="C688" s="46"/>
      <c r="G688" s="96"/>
    </row>
    <row r="689">
      <c r="C689" s="46"/>
      <c r="G689" s="96"/>
    </row>
    <row r="690">
      <c r="C690" s="46"/>
      <c r="G690" s="96"/>
    </row>
    <row r="691">
      <c r="C691" s="46"/>
      <c r="G691" s="96"/>
    </row>
    <row r="692">
      <c r="C692" s="46"/>
      <c r="G692" s="96"/>
    </row>
    <row r="693">
      <c r="C693" s="46"/>
      <c r="G693" s="96"/>
    </row>
    <row r="694">
      <c r="C694" s="46"/>
      <c r="G694" s="96"/>
    </row>
    <row r="695">
      <c r="C695" s="46"/>
      <c r="G695" s="96"/>
    </row>
    <row r="696">
      <c r="C696" s="46"/>
      <c r="G696" s="96"/>
    </row>
    <row r="697">
      <c r="C697" s="46"/>
      <c r="G697" s="96"/>
    </row>
    <row r="698">
      <c r="C698" s="46"/>
      <c r="G698" s="96"/>
    </row>
    <row r="699">
      <c r="C699" s="46"/>
      <c r="G699" s="96"/>
    </row>
    <row r="700">
      <c r="C700" s="46"/>
      <c r="G700" s="96"/>
    </row>
    <row r="701">
      <c r="C701" s="46"/>
      <c r="G701" s="96"/>
    </row>
    <row r="702">
      <c r="C702" s="46"/>
      <c r="G702" s="96"/>
    </row>
    <row r="703">
      <c r="C703" s="46"/>
      <c r="G703" s="96"/>
    </row>
    <row r="704">
      <c r="C704" s="46"/>
      <c r="G704" s="96"/>
    </row>
    <row r="705">
      <c r="C705" s="46"/>
      <c r="G705" s="96"/>
    </row>
    <row r="706">
      <c r="C706" s="46"/>
      <c r="G706" s="96"/>
    </row>
    <row r="707">
      <c r="C707" s="46"/>
      <c r="G707" s="96"/>
    </row>
    <row r="708">
      <c r="C708" s="46"/>
      <c r="G708" s="96"/>
    </row>
    <row r="709">
      <c r="C709" s="46"/>
      <c r="G709" s="96"/>
    </row>
    <row r="710">
      <c r="C710" s="46"/>
      <c r="G710" s="96"/>
    </row>
    <row r="711">
      <c r="C711" s="46"/>
      <c r="G711" s="96"/>
    </row>
    <row r="712">
      <c r="C712" s="46"/>
      <c r="G712" s="96"/>
    </row>
    <row r="713">
      <c r="C713" s="46"/>
      <c r="G713" s="96"/>
    </row>
    <row r="714">
      <c r="C714" s="46"/>
      <c r="G714" s="96"/>
    </row>
    <row r="715">
      <c r="C715" s="46"/>
      <c r="G715" s="96"/>
    </row>
    <row r="716">
      <c r="C716" s="46"/>
      <c r="G716" s="96"/>
    </row>
    <row r="717">
      <c r="C717" s="46"/>
      <c r="G717" s="96"/>
    </row>
    <row r="718">
      <c r="C718" s="46"/>
      <c r="G718" s="96"/>
    </row>
    <row r="719">
      <c r="C719" s="46"/>
      <c r="G719" s="96"/>
    </row>
    <row r="720">
      <c r="C720" s="46"/>
      <c r="G720" s="96"/>
    </row>
    <row r="721">
      <c r="C721" s="46"/>
      <c r="G721" s="96"/>
    </row>
    <row r="722">
      <c r="C722" s="46"/>
      <c r="G722" s="96"/>
    </row>
    <row r="723">
      <c r="C723" s="46"/>
      <c r="G723" s="96"/>
    </row>
    <row r="724">
      <c r="C724" s="46"/>
      <c r="G724" s="96"/>
    </row>
    <row r="725">
      <c r="C725" s="46"/>
      <c r="G725" s="96"/>
    </row>
    <row r="726">
      <c r="C726" s="46"/>
      <c r="G726" s="96"/>
    </row>
    <row r="727">
      <c r="C727" s="46"/>
      <c r="G727" s="96"/>
    </row>
    <row r="728">
      <c r="C728" s="46"/>
      <c r="G728" s="96"/>
    </row>
    <row r="729">
      <c r="C729" s="46"/>
      <c r="G729" s="96"/>
    </row>
    <row r="730">
      <c r="C730" s="46"/>
      <c r="G730" s="96"/>
    </row>
    <row r="731">
      <c r="C731" s="46"/>
      <c r="G731" s="96"/>
    </row>
    <row r="732">
      <c r="C732" s="46"/>
      <c r="G732" s="96"/>
    </row>
    <row r="733">
      <c r="C733" s="46"/>
      <c r="G733" s="96"/>
    </row>
    <row r="734">
      <c r="C734" s="46"/>
      <c r="G734" s="96"/>
    </row>
    <row r="735">
      <c r="C735" s="46"/>
      <c r="G735" s="96"/>
    </row>
    <row r="736">
      <c r="C736" s="46"/>
      <c r="G736" s="96"/>
    </row>
    <row r="737">
      <c r="C737" s="46"/>
      <c r="G737" s="96"/>
    </row>
    <row r="738">
      <c r="C738" s="46"/>
      <c r="G738" s="96"/>
    </row>
    <row r="739">
      <c r="C739" s="46"/>
      <c r="G739" s="96"/>
    </row>
    <row r="740">
      <c r="C740" s="46"/>
      <c r="G740" s="96"/>
    </row>
    <row r="741">
      <c r="C741" s="46"/>
      <c r="G741" s="96"/>
    </row>
    <row r="742">
      <c r="C742" s="46"/>
      <c r="G742" s="96"/>
    </row>
    <row r="743">
      <c r="C743" s="46"/>
      <c r="G743" s="96"/>
    </row>
    <row r="744">
      <c r="C744" s="46"/>
      <c r="G744" s="96"/>
    </row>
    <row r="745">
      <c r="C745" s="46"/>
      <c r="G745" s="96"/>
    </row>
    <row r="746">
      <c r="C746" s="46"/>
      <c r="G746" s="96"/>
    </row>
    <row r="747">
      <c r="C747" s="46"/>
      <c r="G747" s="96"/>
    </row>
    <row r="748">
      <c r="C748" s="46"/>
      <c r="G748" s="96"/>
    </row>
    <row r="749">
      <c r="C749" s="46"/>
      <c r="G749" s="96"/>
    </row>
    <row r="750">
      <c r="C750" s="46"/>
      <c r="G750" s="96"/>
    </row>
    <row r="751">
      <c r="C751" s="46"/>
      <c r="G751" s="96"/>
    </row>
    <row r="752">
      <c r="C752" s="46"/>
      <c r="G752" s="96"/>
    </row>
    <row r="753">
      <c r="C753" s="46"/>
      <c r="G753" s="96"/>
    </row>
    <row r="754">
      <c r="C754" s="46"/>
      <c r="G754" s="96"/>
    </row>
    <row r="755">
      <c r="C755" s="46"/>
      <c r="G755" s="96"/>
    </row>
    <row r="756">
      <c r="C756" s="46"/>
      <c r="G756" s="96"/>
    </row>
    <row r="757">
      <c r="C757" s="46"/>
      <c r="G757" s="96"/>
    </row>
    <row r="758">
      <c r="C758" s="46"/>
      <c r="G758" s="96"/>
    </row>
    <row r="759">
      <c r="C759" s="46"/>
      <c r="G759" s="96"/>
    </row>
    <row r="760">
      <c r="C760" s="46"/>
      <c r="G760" s="96"/>
    </row>
    <row r="761">
      <c r="C761" s="46"/>
      <c r="G761" s="96"/>
    </row>
    <row r="762">
      <c r="C762" s="46"/>
      <c r="G762" s="96"/>
    </row>
    <row r="763">
      <c r="C763" s="46"/>
      <c r="G763" s="96"/>
    </row>
    <row r="764">
      <c r="C764" s="46"/>
      <c r="G764" s="96"/>
    </row>
    <row r="765">
      <c r="C765" s="46"/>
      <c r="G765" s="96"/>
    </row>
    <row r="766">
      <c r="C766" s="46"/>
      <c r="G766" s="96"/>
    </row>
    <row r="767">
      <c r="C767" s="46"/>
      <c r="G767" s="96"/>
    </row>
    <row r="768">
      <c r="C768" s="46"/>
      <c r="G768" s="96"/>
    </row>
    <row r="769">
      <c r="C769" s="46"/>
      <c r="G769" s="96"/>
    </row>
    <row r="770">
      <c r="C770" s="46"/>
      <c r="G770" s="96"/>
    </row>
    <row r="771">
      <c r="C771" s="46"/>
      <c r="G771" s="96"/>
    </row>
    <row r="772">
      <c r="C772" s="46"/>
      <c r="G772" s="96"/>
    </row>
    <row r="773">
      <c r="C773" s="46"/>
      <c r="G773" s="96"/>
    </row>
    <row r="774">
      <c r="C774" s="46"/>
      <c r="G774" s="96"/>
    </row>
    <row r="775">
      <c r="C775" s="46"/>
      <c r="G775" s="96"/>
    </row>
    <row r="776">
      <c r="C776" s="46"/>
      <c r="G776" s="96"/>
    </row>
    <row r="777">
      <c r="C777" s="46"/>
      <c r="G777" s="96"/>
    </row>
    <row r="778">
      <c r="C778" s="46"/>
      <c r="G778" s="96"/>
    </row>
    <row r="779">
      <c r="C779" s="46"/>
      <c r="G779" s="96"/>
    </row>
    <row r="780">
      <c r="C780" s="46"/>
      <c r="G780" s="96"/>
    </row>
    <row r="781">
      <c r="C781" s="46"/>
      <c r="G781" s="96"/>
    </row>
    <row r="782">
      <c r="C782" s="46"/>
      <c r="G782" s="96"/>
    </row>
    <row r="783">
      <c r="C783" s="46"/>
      <c r="G783" s="96"/>
    </row>
    <row r="784">
      <c r="C784" s="46"/>
      <c r="G784" s="96"/>
    </row>
    <row r="785">
      <c r="C785" s="46"/>
      <c r="G785" s="96"/>
    </row>
    <row r="786">
      <c r="C786" s="46"/>
      <c r="G786" s="96"/>
    </row>
    <row r="787">
      <c r="C787" s="46"/>
      <c r="G787" s="96"/>
    </row>
    <row r="788">
      <c r="C788" s="46"/>
      <c r="G788" s="96"/>
    </row>
    <row r="789">
      <c r="C789" s="46"/>
      <c r="G789" s="96"/>
    </row>
    <row r="790">
      <c r="C790" s="46"/>
      <c r="G790" s="96"/>
    </row>
    <row r="791">
      <c r="C791" s="46"/>
      <c r="G791" s="96"/>
    </row>
    <row r="792">
      <c r="C792" s="46"/>
      <c r="G792" s="96"/>
    </row>
    <row r="793">
      <c r="C793" s="46"/>
      <c r="G793" s="96"/>
    </row>
    <row r="794">
      <c r="C794" s="46"/>
      <c r="G794" s="96"/>
    </row>
    <row r="795">
      <c r="C795" s="46"/>
      <c r="G795" s="96"/>
    </row>
    <row r="796">
      <c r="C796" s="46"/>
      <c r="G796" s="96"/>
    </row>
    <row r="797">
      <c r="C797" s="46"/>
      <c r="G797" s="96"/>
    </row>
    <row r="798">
      <c r="C798" s="46"/>
      <c r="G798" s="96"/>
    </row>
    <row r="799">
      <c r="C799" s="46"/>
      <c r="G799" s="96"/>
    </row>
    <row r="800">
      <c r="C800" s="46"/>
      <c r="G800" s="96"/>
    </row>
    <row r="801">
      <c r="C801" s="46"/>
      <c r="G801" s="96"/>
    </row>
    <row r="802">
      <c r="C802" s="46"/>
      <c r="G802" s="96"/>
    </row>
    <row r="803">
      <c r="C803" s="46"/>
      <c r="G803" s="96"/>
    </row>
    <row r="804">
      <c r="C804" s="46"/>
      <c r="G804" s="96"/>
    </row>
    <row r="805">
      <c r="C805" s="46"/>
      <c r="G805" s="96"/>
    </row>
    <row r="806">
      <c r="C806" s="46"/>
      <c r="G806" s="96"/>
    </row>
    <row r="807">
      <c r="C807" s="46"/>
      <c r="G807" s="96"/>
    </row>
    <row r="808">
      <c r="C808" s="46"/>
      <c r="G808" s="96"/>
    </row>
    <row r="809">
      <c r="C809" s="46"/>
      <c r="G809" s="96"/>
    </row>
    <row r="810">
      <c r="C810" s="46"/>
      <c r="G810" s="96"/>
    </row>
    <row r="811">
      <c r="C811" s="46"/>
      <c r="G811" s="96"/>
    </row>
    <row r="812">
      <c r="C812" s="46"/>
      <c r="G812" s="96"/>
    </row>
    <row r="813">
      <c r="C813" s="46"/>
      <c r="G813" s="96"/>
    </row>
    <row r="814">
      <c r="C814" s="46"/>
      <c r="G814" s="96"/>
    </row>
    <row r="815">
      <c r="C815" s="46"/>
      <c r="G815" s="96"/>
    </row>
    <row r="816">
      <c r="C816" s="46"/>
      <c r="G816" s="96"/>
    </row>
    <row r="817">
      <c r="C817" s="46"/>
      <c r="G817" s="96"/>
    </row>
    <row r="818">
      <c r="C818" s="46"/>
      <c r="G818" s="96"/>
    </row>
    <row r="819">
      <c r="C819" s="46"/>
      <c r="G819" s="96"/>
    </row>
    <row r="820">
      <c r="C820" s="46"/>
      <c r="G820" s="96"/>
    </row>
    <row r="821">
      <c r="C821" s="46"/>
      <c r="G821" s="96"/>
    </row>
    <row r="822">
      <c r="C822" s="46"/>
      <c r="G822" s="96"/>
    </row>
    <row r="823">
      <c r="C823" s="46"/>
      <c r="G823" s="96"/>
    </row>
    <row r="824">
      <c r="C824" s="46"/>
      <c r="G824" s="96"/>
    </row>
    <row r="825">
      <c r="C825" s="46"/>
      <c r="G825" s="96"/>
    </row>
    <row r="826">
      <c r="C826" s="46"/>
      <c r="G826" s="96"/>
    </row>
    <row r="827">
      <c r="C827" s="46"/>
      <c r="G827" s="96"/>
    </row>
    <row r="828">
      <c r="C828" s="46"/>
      <c r="G828" s="96"/>
    </row>
    <row r="829">
      <c r="C829" s="46"/>
      <c r="G829" s="96"/>
    </row>
    <row r="830">
      <c r="C830" s="46"/>
      <c r="G830" s="96"/>
    </row>
    <row r="831">
      <c r="C831" s="46"/>
      <c r="G831" s="96"/>
    </row>
    <row r="832">
      <c r="C832" s="46"/>
      <c r="G832" s="96"/>
    </row>
    <row r="833">
      <c r="C833" s="46"/>
      <c r="G833" s="96"/>
    </row>
    <row r="834">
      <c r="C834" s="46"/>
      <c r="G834" s="96"/>
    </row>
    <row r="835">
      <c r="C835" s="46"/>
      <c r="G835" s="96"/>
    </row>
    <row r="836">
      <c r="C836" s="46"/>
      <c r="G836" s="96"/>
    </row>
    <row r="837">
      <c r="C837" s="46"/>
      <c r="G837" s="96"/>
    </row>
    <row r="838">
      <c r="C838" s="46"/>
      <c r="G838" s="96"/>
    </row>
    <row r="839">
      <c r="C839" s="46"/>
      <c r="G839" s="96"/>
    </row>
    <row r="840">
      <c r="C840" s="46"/>
      <c r="G840" s="96"/>
    </row>
    <row r="841">
      <c r="C841" s="46"/>
      <c r="G841" s="96"/>
    </row>
    <row r="842">
      <c r="C842" s="46"/>
      <c r="G842" s="96"/>
    </row>
    <row r="843">
      <c r="C843" s="46"/>
      <c r="G843" s="96"/>
    </row>
    <row r="844">
      <c r="C844" s="46"/>
      <c r="G844" s="96"/>
    </row>
    <row r="845">
      <c r="C845" s="46"/>
      <c r="G845" s="96"/>
    </row>
    <row r="846">
      <c r="C846" s="46"/>
      <c r="G846" s="96"/>
    </row>
    <row r="847">
      <c r="C847" s="46"/>
      <c r="G847" s="96"/>
    </row>
    <row r="848">
      <c r="C848" s="46"/>
      <c r="G848" s="96"/>
    </row>
    <row r="849">
      <c r="C849" s="46"/>
      <c r="G849" s="96"/>
    </row>
    <row r="850">
      <c r="C850" s="46"/>
      <c r="G850" s="96"/>
    </row>
    <row r="851">
      <c r="C851" s="46"/>
      <c r="G851" s="96"/>
    </row>
    <row r="852">
      <c r="C852" s="46"/>
      <c r="G852" s="96"/>
    </row>
    <row r="853">
      <c r="C853" s="46"/>
      <c r="G853" s="96"/>
    </row>
    <row r="854">
      <c r="C854" s="46"/>
      <c r="G854" s="96"/>
    </row>
    <row r="855">
      <c r="C855" s="46"/>
      <c r="G855" s="96"/>
    </row>
    <row r="856">
      <c r="C856" s="46"/>
      <c r="G856" s="96"/>
    </row>
    <row r="857">
      <c r="C857" s="46"/>
      <c r="G857" s="96"/>
    </row>
    <row r="858">
      <c r="C858" s="46"/>
      <c r="G858" s="96"/>
    </row>
    <row r="859">
      <c r="C859" s="46"/>
      <c r="G859" s="96"/>
    </row>
    <row r="860">
      <c r="C860" s="46"/>
      <c r="G860" s="96"/>
    </row>
    <row r="861">
      <c r="C861" s="46"/>
      <c r="G861" s="96"/>
    </row>
    <row r="862">
      <c r="C862" s="46"/>
      <c r="G862" s="96"/>
    </row>
    <row r="863">
      <c r="C863" s="46"/>
      <c r="G863" s="96"/>
    </row>
    <row r="864">
      <c r="C864" s="46"/>
      <c r="G864" s="96"/>
    </row>
    <row r="865">
      <c r="C865" s="46"/>
      <c r="G865" s="96"/>
    </row>
    <row r="866">
      <c r="C866" s="46"/>
      <c r="G866" s="96"/>
    </row>
    <row r="867">
      <c r="C867" s="46"/>
      <c r="G867" s="96"/>
    </row>
    <row r="868">
      <c r="C868" s="46"/>
      <c r="G868" s="96"/>
    </row>
    <row r="869">
      <c r="C869" s="46"/>
      <c r="G869" s="96"/>
    </row>
    <row r="870">
      <c r="C870" s="46"/>
      <c r="G870" s="96"/>
    </row>
    <row r="871">
      <c r="C871" s="46"/>
      <c r="G871" s="96"/>
    </row>
    <row r="872">
      <c r="C872" s="46"/>
      <c r="G872" s="96"/>
    </row>
    <row r="873">
      <c r="C873" s="46"/>
      <c r="G873" s="96"/>
    </row>
    <row r="874">
      <c r="C874" s="46"/>
      <c r="G874" s="96"/>
    </row>
    <row r="875">
      <c r="C875" s="46"/>
      <c r="G875" s="96"/>
    </row>
    <row r="876">
      <c r="C876" s="46"/>
      <c r="G876" s="96"/>
    </row>
    <row r="877">
      <c r="C877" s="46"/>
      <c r="G877" s="96"/>
    </row>
    <row r="878">
      <c r="C878" s="46"/>
      <c r="G878" s="96"/>
    </row>
    <row r="879">
      <c r="C879" s="46"/>
      <c r="G879" s="96"/>
    </row>
    <row r="880">
      <c r="C880" s="46"/>
      <c r="G880" s="96"/>
    </row>
    <row r="881">
      <c r="C881" s="46"/>
      <c r="G881" s="96"/>
    </row>
    <row r="882">
      <c r="C882" s="46"/>
      <c r="G882" s="96"/>
    </row>
    <row r="883">
      <c r="C883" s="46"/>
      <c r="G883" s="96"/>
    </row>
    <row r="884">
      <c r="C884" s="46"/>
      <c r="G884" s="96"/>
    </row>
    <row r="885">
      <c r="C885" s="46"/>
      <c r="G885" s="96"/>
    </row>
    <row r="886">
      <c r="C886" s="46"/>
      <c r="G886" s="96"/>
    </row>
    <row r="887">
      <c r="C887" s="46"/>
      <c r="G887" s="96"/>
    </row>
    <row r="888">
      <c r="C888" s="46"/>
      <c r="G888" s="96"/>
    </row>
    <row r="889">
      <c r="C889" s="46"/>
      <c r="G889" s="96"/>
    </row>
    <row r="890">
      <c r="C890" s="46"/>
      <c r="G890" s="96"/>
    </row>
    <row r="891">
      <c r="C891" s="46"/>
      <c r="G891" s="96"/>
    </row>
    <row r="892">
      <c r="C892" s="46"/>
      <c r="G892" s="96"/>
    </row>
    <row r="893">
      <c r="C893" s="46"/>
      <c r="G893" s="96"/>
    </row>
    <row r="894">
      <c r="C894" s="46"/>
      <c r="G894" s="96"/>
    </row>
    <row r="895">
      <c r="C895" s="46"/>
      <c r="G895" s="96"/>
    </row>
    <row r="896">
      <c r="C896" s="46"/>
      <c r="G896" s="96"/>
    </row>
    <row r="897">
      <c r="C897" s="46"/>
      <c r="G897" s="96"/>
    </row>
    <row r="898">
      <c r="C898" s="46"/>
      <c r="G898" s="96"/>
    </row>
    <row r="899">
      <c r="C899" s="46"/>
      <c r="G899" s="96"/>
    </row>
    <row r="900">
      <c r="C900" s="46"/>
      <c r="G900" s="96"/>
    </row>
    <row r="901">
      <c r="C901" s="46"/>
      <c r="G901" s="96"/>
    </row>
    <row r="902">
      <c r="C902" s="46"/>
      <c r="G902" s="96"/>
    </row>
    <row r="903">
      <c r="C903" s="46"/>
      <c r="G903" s="96"/>
    </row>
    <row r="904">
      <c r="C904" s="46"/>
      <c r="G904" s="96"/>
    </row>
    <row r="905">
      <c r="C905" s="46"/>
      <c r="G905" s="96"/>
    </row>
    <row r="906">
      <c r="C906" s="46"/>
      <c r="G906" s="96"/>
    </row>
    <row r="907">
      <c r="C907" s="46"/>
      <c r="G907" s="96"/>
    </row>
    <row r="908">
      <c r="C908" s="46"/>
      <c r="G908" s="96"/>
    </row>
    <row r="909">
      <c r="C909" s="46"/>
      <c r="G909" s="96"/>
    </row>
    <row r="910">
      <c r="C910" s="46"/>
      <c r="G910" s="96"/>
    </row>
    <row r="911">
      <c r="C911" s="46"/>
      <c r="G911" s="96"/>
    </row>
    <row r="912">
      <c r="C912" s="46"/>
      <c r="G912" s="96"/>
    </row>
    <row r="913">
      <c r="C913" s="46"/>
      <c r="G913" s="96"/>
    </row>
    <row r="914">
      <c r="C914" s="46"/>
      <c r="G914" s="96"/>
    </row>
    <row r="915">
      <c r="C915" s="46"/>
      <c r="G915" s="96"/>
    </row>
    <row r="916">
      <c r="C916" s="46"/>
      <c r="G916" s="96"/>
    </row>
    <row r="917">
      <c r="C917" s="46"/>
      <c r="G917" s="96"/>
    </row>
    <row r="918">
      <c r="C918" s="46"/>
      <c r="G918" s="96"/>
    </row>
    <row r="919">
      <c r="C919" s="46"/>
      <c r="G919" s="96"/>
    </row>
    <row r="920">
      <c r="C920" s="46"/>
      <c r="G920" s="96"/>
    </row>
    <row r="921">
      <c r="C921" s="46"/>
      <c r="G921" s="96"/>
    </row>
    <row r="922">
      <c r="C922" s="46"/>
      <c r="G922" s="96"/>
    </row>
    <row r="923">
      <c r="C923" s="46"/>
      <c r="G923" s="96"/>
    </row>
    <row r="924">
      <c r="C924" s="46"/>
      <c r="G924" s="96"/>
    </row>
    <row r="925">
      <c r="C925" s="46"/>
      <c r="G925" s="96"/>
    </row>
    <row r="926">
      <c r="C926" s="46"/>
      <c r="G926" s="96"/>
    </row>
    <row r="927">
      <c r="C927" s="46"/>
      <c r="G927" s="96"/>
    </row>
    <row r="928">
      <c r="C928" s="46"/>
      <c r="G928" s="96"/>
    </row>
    <row r="929">
      <c r="C929" s="46"/>
      <c r="G929" s="96"/>
    </row>
    <row r="930">
      <c r="C930" s="46"/>
      <c r="G930" s="96"/>
    </row>
    <row r="931">
      <c r="C931" s="46"/>
      <c r="G931" s="96"/>
    </row>
    <row r="932">
      <c r="C932" s="46"/>
      <c r="G932" s="96"/>
    </row>
    <row r="933">
      <c r="C933" s="46"/>
      <c r="G933" s="96"/>
    </row>
    <row r="934">
      <c r="C934" s="46"/>
      <c r="G934" s="96"/>
    </row>
    <row r="935">
      <c r="C935" s="46"/>
      <c r="G935" s="96"/>
    </row>
    <row r="936">
      <c r="C936" s="46"/>
      <c r="G936" s="96"/>
    </row>
    <row r="937">
      <c r="C937" s="46"/>
      <c r="G937" s="96"/>
    </row>
    <row r="938">
      <c r="C938" s="46"/>
      <c r="G938" s="96"/>
    </row>
    <row r="939">
      <c r="C939" s="46"/>
      <c r="G939" s="96"/>
    </row>
    <row r="940">
      <c r="C940" s="46"/>
      <c r="G940" s="96"/>
    </row>
    <row r="941">
      <c r="C941" s="46"/>
      <c r="G941" s="96"/>
    </row>
    <row r="942">
      <c r="C942" s="46"/>
      <c r="G942" s="96"/>
    </row>
    <row r="943">
      <c r="C943" s="46"/>
      <c r="G943" s="96"/>
    </row>
    <row r="944">
      <c r="C944" s="46"/>
      <c r="G944" s="96"/>
    </row>
    <row r="945">
      <c r="C945" s="46"/>
      <c r="G945" s="96"/>
    </row>
    <row r="946">
      <c r="C946" s="46"/>
      <c r="G946" s="96"/>
    </row>
    <row r="947">
      <c r="C947" s="46"/>
      <c r="G947" s="96"/>
    </row>
    <row r="948">
      <c r="C948" s="46"/>
      <c r="G948" s="96"/>
    </row>
    <row r="949">
      <c r="C949" s="46"/>
      <c r="G949" s="96"/>
    </row>
    <row r="950">
      <c r="C950" s="46"/>
      <c r="G950" s="96"/>
    </row>
    <row r="951">
      <c r="C951" s="46"/>
      <c r="G951" s="96"/>
    </row>
    <row r="952">
      <c r="C952" s="46"/>
      <c r="G952" s="96"/>
    </row>
    <row r="953">
      <c r="C953" s="46"/>
      <c r="G953" s="96"/>
    </row>
    <row r="954">
      <c r="C954" s="46"/>
      <c r="G954" s="96"/>
    </row>
    <row r="955">
      <c r="C955" s="46"/>
      <c r="G955" s="96"/>
    </row>
    <row r="956">
      <c r="C956" s="46"/>
      <c r="G956" s="96"/>
    </row>
    <row r="957">
      <c r="C957" s="46"/>
      <c r="G957" s="96"/>
    </row>
    <row r="958">
      <c r="C958" s="46"/>
      <c r="G958" s="96"/>
    </row>
    <row r="959">
      <c r="C959" s="46"/>
      <c r="G959" s="96"/>
    </row>
    <row r="960">
      <c r="C960" s="46"/>
      <c r="G960" s="96"/>
    </row>
    <row r="961">
      <c r="C961" s="46"/>
      <c r="G961" s="96"/>
    </row>
    <row r="962">
      <c r="C962" s="46"/>
      <c r="G962" s="96"/>
    </row>
    <row r="963">
      <c r="C963" s="46"/>
      <c r="G963" s="96"/>
    </row>
    <row r="964">
      <c r="C964" s="46"/>
      <c r="G964" s="96"/>
    </row>
    <row r="965">
      <c r="C965" s="46"/>
      <c r="G965" s="96"/>
    </row>
    <row r="966">
      <c r="C966" s="46"/>
      <c r="G966" s="96"/>
    </row>
    <row r="967">
      <c r="C967" s="46"/>
      <c r="G967" s="96"/>
    </row>
    <row r="968">
      <c r="C968" s="46"/>
      <c r="G968" s="96"/>
    </row>
    <row r="969">
      <c r="C969" s="46"/>
      <c r="G969" s="96"/>
    </row>
    <row r="970">
      <c r="C970" s="46"/>
      <c r="G970" s="96"/>
    </row>
    <row r="971">
      <c r="C971" s="46"/>
      <c r="G971" s="96"/>
    </row>
    <row r="972">
      <c r="C972" s="46"/>
      <c r="G972" s="96"/>
    </row>
    <row r="973">
      <c r="C973" s="46"/>
      <c r="G973" s="96"/>
    </row>
    <row r="974">
      <c r="C974" s="46"/>
      <c r="G974" s="96"/>
    </row>
    <row r="975">
      <c r="C975" s="46"/>
      <c r="G975" s="96"/>
    </row>
    <row r="976">
      <c r="C976" s="46"/>
      <c r="G976" s="96"/>
    </row>
    <row r="977">
      <c r="C977" s="46"/>
      <c r="G977" s="96"/>
    </row>
    <row r="978">
      <c r="C978" s="46"/>
      <c r="G978" s="96"/>
    </row>
    <row r="979">
      <c r="C979" s="46"/>
      <c r="G979" s="96"/>
    </row>
    <row r="980">
      <c r="C980" s="46"/>
      <c r="G980" s="96"/>
    </row>
    <row r="981">
      <c r="C981" s="46"/>
      <c r="G981" s="96"/>
    </row>
    <row r="982">
      <c r="C982" s="46"/>
      <c r="G982" s="96"/>
    </row>
    <row r="983">
      <c r="C983" s="46"/>
      <c r="G983" s="96"/>
    </row>
    <row r="984">
      <c r="C984" s="46"/>
      <c r="G984" s="96"/>
    </row>
    <row r="985">
      <c r="C985" s="46"/>
      <c r="G985" s="96"/>
    </row>
    <row r="986">
      <c r="C986" s="46"/>
      <c r="G986" s="96"/>
    </row>
    <row r="987">
      <c r="C987" s="46"/>
      <c r="G987" s="96"/>
    </row>
    <row r="988">
      <c r="C988" s="46"/>
      <c r="G988" s="96"/>
    </row>
    <row r="989">
      <c r="C989" s="46"/>
      <c r="G989" s="96"/>
    </row>
    <row r="990">
      <c r="C990" s="46"/>
      <c r="G990" s="96"/>
    </row>
    <row r="991">
      <c r="C991" s="46"/>
      <c r="G991" s="96"/>
    </row>
    <row r="992">
      <c r="C992" s="46"/>
      <c r="G992" s="96"/>
    </row>
    <row r="993">
      <c r="C993" s="46"/>
      <c r="G993" s="96"/>
    </row>
    <row r="994">
      <c r="C994" s="46"/>
      <c r="G994" s="96"/>
    </row>
    <row r="995">
      <c r="C995" s="46"/>
      <c r="G995" s="96"/>
    </row>
    <row r="996">
      <c r="C996" s="46"/>
      <c r="G996" s="96"/>
    </row>
    <row r="997">
      <c r="C997" s="46"/>
      <c r="G997" s="96"/>
    </row>
    <row r="998">
      <c r="C998" s="46"/>
      <c r="G998" s="96"/>
    </row>
    <row r="999">
      <c r="C999" s="46"/>
      <c r="G999" s="96"/>
    </row>
    <row r="1000">
      <c r="C1000" s="46"/>
      <c r="G1000" s="96"/>
    </row>
    <row r="1001">
      <c r="C1001" s="46"/>
      <c r="G1001" s="96"/>
    </row>
    <row r="1002">
      <c r="C1002" s="46"/>
      <c r="G1002" s="96"/>
    </row>
    <row r="1003">
      <c r="C1003" s="46"/>
      <c r="G1003" s="96"/>
    </row>
    <row r="1004">
      <c r="C1004" s="46"/>
      <c r="G1004" s="96"/>
    </row>
    <row r="1005">
      <c r="C1005" s="46"/>
      <c r="G1005" s="96"/>
    </row>
    <row r="1006">
      <c r="C1006" s="46"/>
      <c r="G1006" s="96"/>
    </row>
    <row r="1007">
      <c r="C1007" s="46"/>
      <c r="G1007" s="96"/>
    </row>
    <row r="1008">
      <c r="C1008" s="46"/>
      <c r="G1008" s="96"/>
    </row>
    <row r="1009">
      <c r="C1009" s="46"/>
      <c r="G1009" s="96"/>
    </row>
  </sheetData>
  <hyperlinks>
    <hyperlink r:id="rId2" ref="F6"/>
    <hyperlink r:id="rId3" ref="F8"/>
    <hyperlink r:id="rId4" ref="F10"/>
    <hyperlink r:id="rId5" location="/?airport=DFW&amp;checkIn=2026-23-6%204:00%20PM&amp;checkOut=2026-28-6%203:00%20PM" ref="F12"/>
    <hyperlink r:id="rId6" location="/next/summary" ref="F14"/>
  </hyperlinks>
  <drawing r:id="rId7"/>
  <legacy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5"/>
    <col customWidth="1" min="2" max="2" width="6.38"/>
    <col customWidth="1" min="3" max="3" width="14.88"/>
    <col customWidth="1" min="4" max="4" width="7.5"/>
    <col customWidth="1" min="5" max="5" width="10.38"/>
    <col customWidth="1" min="6" max="6" width="68.75"/>
    <col customWidth="1" min="7" max="7" width="8.75"/>
    <col customWidth="1" min="9" max="9" width="11.63"/>
  </cols>
  <sheetData>
    <row r="1" ht="15.75" customHeight="1">
      <c r="A1" s="98" t="s">
        <v>358</v>
      </c>
      <c r="B1" s="99" t="s">
        <v>359</v>
      </c>
      <c r="C1" s="98" t="s">
        <v>360</v>
      </c>
      <c r="D1" s="100" t="s">
        <v>361</v>
      </c>
      <c r="E1" s="101" t="s">
        <v>362</v>
      </c>
      <c r="F1" s="98" t="s">
        <v>363</v>
      </c>
      <c r="G1" s="98" t="s">
        <v>149</v>
      </c>
      <c r="H1" s="100" t="s">
        <v>364</v>
      </c>
      <c r="I1" s="102" t="s">
        <v>365</v>
      </c>
      <c r="J1" s="103" t="s">
        <v>338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</row>
    <row r="2" ht="15.75" customHeight="1">
      <c r="A2" s="105" t="s">
        <v>366</v>
      </c>
      <c r="B2" s="106">
        <v>2.0</v>
      </c>
      <c r="C2" s="107" t="s">
        <v>367</v>
      </c>
      <c r="D2" s="107">
        <v>2.0</v>
      </c>
      <c r="E2" s="108">
        <v>14.72</v>
      </c>
      <c r="F2" s="107" t="s">
        <v>368</v>
      </c>
      <c r="G2" s="105" t="s">
        <v>369</v>
      </c>
      <c r="H2" s="107" t="s">
        <v>370</v>
      </c>
      <c r="I2" s="108">
        <f t="shared" ref="I2:I55" si="1">E2*D2</f>
        <v>29.44</v>
      </c>
      <c r="J2" s="103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</row>
    <row r="3" ht="15.75" customHeight="1">
      <c r="A3" s="109" t="s">
        <v>371</v>
      </c>
      <c r="B3" s="106">
        <v>1.0</v>
      </c>
      <c r="C3" s="109" t="s">
        <v>372</v>
      </c>
      <c r="D3" s="107">
        <v>1.0</v>
      </c>
      <c r="E3" s="108">
        <v>84.75</v>
      </c>
      <c r="F3" s="107" t="s">
        <v>373</v>
      </c>
      <c r="G3" s="110" t="s">
        <v>374</v>
      </c>
      <c r="H3" s="107" t="s">
        <v>375</v>
      </c>
      <c r="I3" s="108">
        <f t="shared" si="1"/>
        <v>84.75</v>
      </c>
      <c r="J3" s="103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</row>
    <row r="4" ht="15.75" customHeight="1">
      <c r="A4" s="109" t="s">
        <v>376</v>
      </c>
      <c r="B4" s="111" t="s">
        <v>377</v>
      </c>
      <c r="C4" s="103" t="s">
        <v>378</v>
      </c>
      <c r="D4" s="103">
        <v>2.0</v>
      </c>
      <c r="E4" s="112">
        <v>104.0</v>
      </c>
      <c r="F4" s="103" t="s">
        <v>379</v>
      </c>
      <c r="G4" s="105" t="s">
        <v>380</v>
      </c>
      <c r="H4" s="103" t="s">
        <v>381</v>
      </c>
      <c r="I4" s="108">
        <f t="shared" si="1"/>
        <v>208</v>
      </c>
      <c r="J4" s="103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ht="15.75" customHeight="1">
      <c r="A5" s="107" t="s">
        <v>382</v>
      </c>
      <c r="B5" s="106">
        <v>1.0</v>
      </c>
      <c r="C5" s="109" t="s">
        <v>383</v>
      </c>
      <c r="D5" s="107">
        <v>1.0</v>
      </c>
      <c r="E5" s="108">
        <v>34.05</v>
      </c>
      <c r="F5" s="109" t="s">
        <v>384</v>
      </c>
      <c r="G5" s="105" t="s">
        <v>385</v>
      </c>
      <c r="H5" s="107" t="s">
        <v>386</v>
      </c>
      <c r="I5" s="108">
        <f t="shared" si="1"/>
        <v>34.05</v>
      </c>
      <c r="J5" s="103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</row>
    <row r="6" ht="15.75" customHeight="1">
      <c r="A6" s="107" t="s">
        <v>387</v>
      </c>
      <c r="B6" s="106">
        <v>1.0</v>
      </c>
      <c r="C6" s="107" t="s">
        <v>388</v>
      </c>
      <c r="D6" s="107">
        <v>2.0</v>
      </c>
      <c r="E6" s="108">
        <v>70.95</v>
      </c>
      <c r="F6" s="113" t="s">
        <v>389</v>
      </c>
      <c r="G6" s="110" t="s">
        <v>390</v>
      </c>
      <c r="H6" s="113" t="s">
        <v>391</v>
      </c>
      <c r="I6" s="108">
        <f t="shared" si="1"/>
        <v>141.9</v>
      </c>
      <c r="J6" s="103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</row>
    <row r="7" ht="15.75" customHeight="1">
      <c r="A7" s="107" t="s">
        <v>392</v>
      </c>
      <c r="B7" s="106">
        <v>1.0</v>
      </c>
      <c r="C7" s="107" t="s">
        <v>393</v>
      </c>
      <c r="D7" s="107">
        <v>3.0</v>
      </c>
      <c r="E7" s="108">
        <v>35.0</v>
      </c>
      <c r="F7" s="113" t="s">
        <v>394</v>
      </c>
      <c r="G7" s="110" t="s">
        <v>395</v>
      </c>
      <c r="H7" s="113" t="s">
        <v>396</v>
      </c>
      <c r="I7" s="108">
        <f t="shared" si="1"/>
        <v>105</v>
      </c>
      <c r="J7" s="103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</row>
    <row r="8" ht="15.75" customHeight="1">
      <c r="A8" s="107" t="s">
        <v>397</v>
      </c>
      <c r="B8" s="106">
        <v>1.0</v>
      </c>
      <c r="C8" s="107" t="s">
        <v>398</v>
      </c>
      <c r="D8" s="107">
        <v>27.0</v>
      </c>
      <c r="E8" s="108">
        <v>14.99</v>
      </c>
      <c r="F8" s="113" t="s">
        <v>399</v>
      </c>
      <c r="G8" s="110" t="s">
        <v>400</v>
      </c>
      <c r="H8" s="113" t="s">
        <v>401</v>
      </c>
      <c r="I8" s="108">
        <f t="shared" si="1"/>
        <v>404.73</v>
      </c>
      <c r="J8" s="103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</row>
    <row r="9" ht="15.75" customHeight="1">
      <c r="A9" s="103" t="s">
        <v>402</v>
      </c>
      <c r="B9" s="103">
        <v>1.0</v>
      </c>
      <c r="C9" s="103" t="s">
        <v>403</v>
      </c>
      <c r="D9" s="103">
        <v>2.0</v>
      </c>
      <c r="E9" s="112">
        <v>35.0</v>
      </c>
      <c r="F9" s="103" t="s">
        <v>404</v>
      </c>
      <c r="G9" s="114" t="s">
        <v>405</v>
      </c>
      <c r="H9" s="103" t="s">
        <v>406</v>
      </c>
      <c r="I9" s="108">
        <f t="shared" si="1"/>
        <v>70</v>
      </c>
      <c r="J9" s="103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</row>
    <row r="10" ht="15.75" customHeight="1">
      <c r="A10" s="103" t="s">
        <v>407</v>
      </c>
      <c r="B10" s="103">
        <v>1.0</v>
      </c>
      <c r="C10" s="103" t="s">
        <v>408</v>
      </c>
      <c r="D10" s="103">
        <v>2.0</v>
      </c>
      <c r="E10" s="112">
        <v>74.0</v>
      </c>
      <c r="F10" s="103" t="s">
        <v>409</v>
      </c>
      <c r="G10" s="114" t="s">
        <v>410</v>
      </c>
      <c r="H10" s="103" t="s">
        <v>401</v>
      </c>
      <c r="I10" s="108">
        <f t="shared" si="1"/>
        <v>148</v>
      </c>
      <c r="J10" s="103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</row>
    <row r="11" ht="15.75" customHeight="1">
      <c r="A11" s="103" t="s">
        <v>411</v>
      </c>
      <c r="B11" s="103">
        <v>2.0</v>
      </c>
      <c r="C11" s="103" t="s">
        <v>412</v>
      </c>
      <c r="D11" s="103">
        <v>1.0</v>
      </c>
      <c r="E11" s="112">
        <v>14.0</v>
      </c>
      <c r="F11" s="103" t="s">
        <v>413</v>
      </c>
      <c r="G11" s="114" t="s">
        <v>414</v>
      </c>
      <c r="H11" s="103" t="s">
        <v>401</v>
      </c>
      <c r="I11" s="108">
        <f t="shared" si="1"/>
        <v>14</v>
      </c>
      <c r="J11" s="103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</row>
    <row r="12" ht="15.75" customHeight="1">
      <c r="A12" s="115" t="s">
        <v>415</v>
      </c>
      <c r="B12" s="115">
        <v>1.0</v>
      </c>
      <c r="C12" s="115" t="s">
        <v>416</v>
      </c>
      <c r="D12" s="115">
        <v>2.0</v>
      </c>
      <c r="E12" s="116">
        <v>6.99</v>
      </c>
      <c r="F12" s="115" t="s">
        <v>417</v>
      </c>
      <c r="G12" s="117" t="s">
        <v>418</v>
      </c>
      <c r="H12" s="115" t="s">
        <v>401</v>
      </c>
      <c r="I12" s="108">
        <f t="shared" si="1"/>
        <v>13.98</v>
      </c>
      <c r="J12" s="103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</row>
    <row r="13" ht="15.75" customHeight="1">
      <c r="A13" s="115" t="s">
        <v>419</v>
      </c>
      <c r="B13" s="115">
        <v>1.0</v>
      </c>
      <c r="C13" s="115" t="s">
        <v>416</v>
      </c>
      <c r="D13" s="115">
        <v>5.0</v>
      </c>
      <c r="E13" s="118">
        <v>4.98</v>
      </c>
      <c r="F13" s="115" t="s">
        <v>420</v>
      </c>
      <c r="G13" s="117" t="s">
        <v>421</v>
      </c>
      <c r="H13" s="115" t="s">
        <v>422</v>
      </c>
      <c r="I13" s="108">
        <f t="shared" si="1"/>
        <v>24.9</v>
      </c>
      <c r="J13" s="103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</row>
    <row r="14" ht="15.75" customHeight="1">
      <c r="A14" s="115" t="s">
        <v>423</v>
      </c>
      <c r="B14" s="115">
        <v>2.0</v>
      </c>
      <c r="C14" s="115" t="s">
        <v>424</v>
      </c>
      <c r="D14" s="115">
        <v>3.0</v>
      </c>
      <c r="E14" s="118">
        <v>127.25</v>
      </c>
      <c r="F14" s="115" t="s">
        <v>425</v>
      </c>
      <c r="G14" s="117" t="s">
        <v>426</v>
      </c>
      <c r="H14" s="115" t="s">
        <v>427</v>
      </c>
      <c r="I14" s="108">
        <f t="shared" si="1"/>
        <v>381.75</v>
      </c>
      <c r="J14" s="103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</row>
    <row r="15" ht="15.75" customHeight="1">
      <c r="A15" s="115" t="s">
        <v>428</v>
      </c>
      <c r="B15" s="115">
        <v>1.0</v>
      </c>
      <c r="C15" s="115" t="s">
        <v>429</v>
      </c>
      <c r="D15" s="115">
        <v>3.0</v>
      </c>
      <c r="E15" s="116">
        <v>53.0</v>
      </c>
      <c r="F15" s="115" t="s">
        <v>430</v>
      </c>
      <c r="G15" s="117" t="s">
        <v>431</v>
      </c>
      <c r="H15" s="115" t="s">
        <v>401</v>
      </c>
      <c r="I15" s="108">
        <f t="shared" si="1"/>
        <v>159</v>
      </c>
      <c r="J15" s="103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</row>
    <row r="16" ht="15.75" customHeight="1">
      <c r="A16" s="115" t="s">
        <v>432</v>
      </c>
      <c r="B16" s="115">
        <v>1.0</v>
      </c>
      <c r="C16" s="115" t="s">
        <v>433</v>
      </c>
      <c r="D16" s="115">
        <v>4.0</v>
      </c>
      <c r="E16" s="118">
        <v>258.0</v>
      </c>
      <c r="F16" s="115" t="s">
        <v>434</v>
      </c>
      <c r="G16" s="117" t="s">
        <v>435</v>
      </c>
      <c r="H16" s="115" t="s">
        <v>396</v>
      </c>
      <c r="I16" s="108">
        <f t="shared" si="1"/>
        <v>1032</v>
      </c>
      <c r="J16" s="103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</row>
    <row r="17" ht="15.75" customHeight="1">
      <c r="A17" s="115" t="s">
        <v>436</v>
      </c>
      <c r="B17" s="115">
        <v>1.0</v>
      </c>
      <c r="C17" s="115" t="s">
        <v>437</v>
      </c>
      <c r="D17" s="115">
        <v>1.0</v>
      </c>
      <c r="E17" s="118">
        <v>201.0</v>
      </c>
      <c r="F17" s="115" t="s">
        <v>438</v>
      </c>
      <c r="G17" s="117" t="s">
        <v>439</v>
      </c>
      <c r="H17" s="115" t="s">
        <v>401</v>
      </c>
      <c r="I17" s="108">
        <f t="shared" si="1"/>
        <v>201</v>
      </c>
      <c r="J17" s="103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</row>
    <row r="18" ht="15.75" customHeight="1">
      <c r="A18" s="115" t="s">
        <v>212</v>
      </c>
      <c r="B18" s="115">
        <v>1.0</v>
      </c>
      <c r="C18" s="115" t="s">
        <v>440</v>
      </c>
      <c r="D18" s="115">
        <v>3.0</v>
      </c>
      <c r="E18" s="118">
        <v>10.0</v>
      </c>
      <c r="F18" s="115" t="s">
        <v>441</v>
      </c>
      <c r="G18" s="117" t="s">
        <v>442</v>
      </c>
      <c r="H18" s="115" t="s">
        <v>396</v>
      </c>
      <c r="I18" s="108">
        <f t="shared" si="1"/>
        <v>30</v>
      </c>
      <c r="J18" s="119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</row>
    <row r="19" ht="15.75" customHeight="1">
      <c r="A19" s="115" t="s">
        <v>443</v>
      </c>
      <c r="B19" s="115">
        <v>3.0</v>
      </c>
      <c r="C19" s="115" t="s">
        <v>440</v>
      </c>
      <c r="D19" s="115">
        <v>2.0</v>
      </c>
      <c r="E19" s="118">
        <v>3.0</v>
      </c>
      <c r="F19" s="115" t="s">
        <v>444</v>
      </c>
      <c r="G19" s="117" t="s">
        <v>445</v>
      </c>
      <c r="H19" s="115" t="s">
        <v>396</v>
      </c>
      <c r="I19" s="108">
        <f t="shared" si="1"/>
        <v>6</v>
      </c>
      <c r="J19" s="115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</row>
    <row r="20" ht="15.75" customHeight="1">
      <c r="A20" s="115" t="s">
        <v>446</v>
      </c>
      <c r="B20" s="115">
        <v>1.0</v>
      </c>
      <c r="C20" s="115" t="s">
        <v>447</v>
      </c>
      <c r="D20" s="115">
        <v>1.0</v>
      </c>
      <c r="E20" s="118">
        <v>114.99</v>
      </c>
      <c r="F20" s="115" t="s">
        <v>448</v>
      </c>
      <c r="G20" s="117" t="s">
        <v>449</v>
      </c>
      <c r="H20" s="115" t="s">
        <v>401</v>
      </c>
      <c r="I20" s="108">
        <f t="shared" si="1"/>
        <v>114.99</v>
      </c>
      <c r="J20" s="115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</row>
    <row r="21" ht="15.75" customHeight="1">
      <c r="A21" s="115" t="s">
        <v>450</v>
      </c>
      <c r="B21" s="115">
        <v>1.0</v>
      </c>
      <c r="C21" s="115" t="s">
        <v>416</v>
      </c>
      <c r="D21" s="115">
        <v>1.0</v>
      </c>
      <c r="E21" s="116">
        <v>49.95</v>
      </c>
      <c r="F21" s="115" t="s">
        <v>451</v>
      </c>
      <c r="G21" s="117" t="s">
        <v>452</v>
      </c>
      <c r="H21" s="115" t="s">
        <v>401</v>
      </c>
      <c r="I21" s="108">
        <f t="shared" si="1"/>
        <v>49.95</v>
      </c>
      <c r="J21" s="103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</row>
    <row r="22" ht="15.75" customHeight="1">
      <c r="A22" s="115" t="s">
        <v>453</v>
      </c>
      <c r="B22" s="115">
        <v>1.0</v>
      </c>
      <c r="C22" s="115" t="s">
        <v>433</v>
      </c>
      <c r="D22" s="115">
        <v>5.0</v>
      </c>
      <c r="E22" s="116">
        <v>14.98</v>
      </c>
      <c r="F22" s="115" t="s">
        <v>454</v>
      </c>
      <c r="G22" s="117" t="s">
        <v>455</v>
      </c>
      <c r="H22" s="115" t="s">
        <v>401</v>
      </c>
      <c r="I22" s="108">
        <f t="shared" si="1"/>
        <v>74.9</v>
      </c>
      <c r="J22" s="103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</row>
    <row r="23" ht="15.75" customHeight="1">
      <c r="A23" s="115" t="s">
        <v>456</v>
      </c>
      <c r="B23" s="115">
        <v>1.0</v>
      </c>
      <c r="C23" s="115" t="s">
        <v>457</v>
      </c>
      <c r="D23" s="115">
        <v>2.0</v>
      </c>
      <c r="E23" s="116">
        <v>20.0</v>
      </c>
      <c r="F23" s="115" t="s">
        <v>458</v>
      </c>
      <c r="G23" s="117" t="s">
        <v>459</v>
      </c>
      <c r="H23" s="115" t="s">
        <v>396</v>
      </c>
      <c r="I23" s="108">
        <f t="shared" si="1"/>
        <v>40</v>
      </c>
      <c r="J23" s="103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</row>
    <row r="24" ht="15.75" customHeight="1">
      <c r="A24" s="115" t="s">
        <v>460</v>
      </c>
      <c r="B24" s="115">
        <v>1.0</v>
      </c>
      <c r="C24" s="115" t="s">
        <v>457</v>
      </c>
      <c r="D24" s="115">
        <v>2.0</v>
      </c>
      <c r="E24" s="120">
        <v>16.0</v>
      </c>
      <c r="F24" s="115" t="s">
        <v>461</v>
      </c>
      <c r="G24" s="117" t="s">
        <v>462</v>
      </c>
      <c r="H24" s="115" t="s">
        <v>396</v>
      </c>
      <c r="I24" s="108">
        <f t="shared" si="1"/>
        <v>32</v>
      </c>
      <c r="J24" s="103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</row>
    <row r="25" ht="15.75" customHeight="1">
      <c r="A25" s="115" t="s">
        <v>463</v>
      </c>
      <c r="B25" s="115">
        <v>1.0</v>
      </c>
      <c r="C25" s="115" t="s">
        <v>424</v>
      </c>
      <c r="D25" s="115">
        <v>2.0</v>
      </c>
      <c r="E25" s="120">
        <v>40.0</v>
      </c>
      <c r="F25" s="115" t="s">
        <v>464</v>
      </c>
      <c r="G25" s="115" t="s">
        <v>465</v>
      </c>
      <c r="H25" s="115" t="s">
        <v>401</v>
      </c>
      <c r="I25" s="108">
        <f t="shared" si="1"/>
        <v>80</v>
      </c>
      <c r="J25" s="115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</row>
    <row r="26" ht="15.75" customHeight="1">
      <c r="A26" s="115" t="s">
        <v>466</v>
      </c>
      <c r="B26" s="115">
        <v>1.0</v>
      </c>
      <c r="C26" s="115" t="s">
        <v>412</v>
      </c>
      <c r="D26" s="115">
        <v>1.0</v>
      </c>
      <c r="E26" s="120">
        <v>39.99</v>
      </c>
      <c r="F26" s="115" t="s">
        <v>467</v>
      </c>
      <c r="G26" s="117" t="s">
        <v>468</v>
      </c>
      <c r="H26" s="115" t="s">
        <v>401</v>
      </c>
      <c r="I26" s="108">
        <f t="shared" si="1"/>
        <v>39.99</v>
      </c>
      <c r="J26" s="115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</row>
    <row r="27" ht="15.75" customHeight="1">
      <c r="A27" s="115" t="s">
        <v>469</v>
      </c>
      <c r="B27" s="115">
        <v>1.0</v>
      </c>
      <c r="C27" s="115" t="s">
        <v>416</v>
      </c>
      <c r="D27" s="115">
        <v>2.0</v>
      </c>
      <c r="E27" s="116">
        <v>18.99</v>
      </c>
      <c r="F27" s="115" t="s">
        <v>470</v>
      </c>
      <c r="G27" s="117" t="s">
        <v>471</v>
      </c>
      <c r="H27" s="115" t="s">
        <v>401</v>
      </c>
      <c r="I27" s="108">
        <f t="shared" si="1"/>
        <v>37.98</v>
      </c>
      <c r="J27" s="103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</row>
    <row r="28" ht="15.75" customHeight="1">
      <c r="A28" s="115" t="s">
        <v>472</v>
      </c>
      <c r="B28" s="115">
        <v>1.0</v>
      </c>
      <c r="C28" s="115" t="s">
        <v>412</v>
      </c>
      <c r="D28" s="115">
        <v>1.0</v>
      </c>
      <c r="E28" s="116">
        <v>6.59</v>
      </c>
      <c r="F28" s="115" t="s">
        <v>470</v>
      </c>
      <c r="G28" s="117" t="s">
        <v>473</v>
      </c>
      <c r="H28" s="115" t="s">
        <v>401</v>
      </c>
      <c r="I28" s="108">
        <f t="shared" si="1"/>
        <v>6.59</v>
      </c>
      <c r="J28" s="103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</row>
    <row r="29" ht="15.75" customHeight="1">
      <c r="A29" s="115" t="s">
        <v>474</v>
      </c>
      <c r="B29" s="115">
        <v>1.0</v>
      </c>
      <c r="C29" s="115" t="s">
        <v>437</v>
      </c>
      <c r="D29" s="115">
        <v>1.0</v>
      </c>
      <c r="E29" s="116">
        <v>53.99</v>
      </c>
      <c r="F29" s="117" t="s">
        <v>475</v>
      </c>
      <c r="G29" s="117" t="s">
        <v>476</v>
      </c>
      <c r="H29" s="115" t="s">
        <v>401</v>
      </c>
      <c r="I29" s="108">
        <f t="shared" si="1"/>
        <v>53.99</v>
      </c>
      <c r="J29" s="103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</row>
    <row r="30" ht="15.75" customHeight="1">
      <c r="A30" s="115" t="s">
        <v>477</v>
      </c>
      <c r="B30" s="115">
        <v>1.0</v>
      </c>
      <c r="C30" s="115" t="s">
        <v>437</v>
      </c>
      <c r="D30" s="115">
        <v>2.0</v>
      </c>
      <c r="E30" s="116">
        <v>26.99</v>
      </c>
      <c r="F30" s="115" t="s">
        <v>478</v>
      </c>
      <c r="G30" s="117" t="s">
        <v>479</v>
      </c>
      <c r="H30" s="115" t="s">
        <v>401</v>
      </c>
      <c r="I30" s="108">
        <f t="shared" si="1"/>
        <v>53.98</v>
      </c>
      <c r="J30" s="103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</row>
    <row r="31" ht="15.75" customHeight="1">
      <c r="A31" s="115" t="s">
        <v>480</v>
      </c>
      <c r="B31" s="115">
        <v>1.0</v>
      </c>
      <c r="C31" s="115" t="s">
        <v>437</v>
      </c>
      <c r="D31" s="115">
        <v>2.0</v>
      </c>
      <c r="E31" s="116">
        <v>159.99</v>
      </c>
      <c r="F31" s="115" t="s">
        <v>481</v>
      </c>
      <c r="G31" s="117" t="s">
        <v>482</v>
      </c>
      <c r="H31" s="115" t="s">
        <v>401</v>
      </c>
      <c r="I31" s="108">
        <f t="shared" si="1"/>
        <v>319.98</v>
      </c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</row>
    <row r="32" ht="15.75" customHeight="1">
      <c r="A32" s="115" t="s">
        <v>483</v>
      </c>
      <c r="B32" s="115">
        <v>1.0</v>
      </c>
      <c r="C32" s="115" t="s">
        <v>484</v>
      </c>
      <c r="D32" s="115">
        <v>3.0</v>
      </c>
      <c r="E32" s="120">
        <v>30.0</v>
      </c>
      <c r="F32" s="115" t="s">
        <v>485</v>
      </c>
      <c r="G32" s="117" t="s">
        <v>486</v>
      </c>
      <c r="H32" s="115" t="s">
        <v>396</v>
      </c>
      <c r="I32" s="108">
        <f t="shared" si="1"/>
        <v>90</v>
      </c>
      <c r="J32" s="103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</row>
    <row r="33" ht="15.75" customHeight="1">
      <c r="A33" s="115" t="s">
        <v>487</v>
      </c>
      <c r="B33" s="115">
        <v>1.0</v>
      </c>
      <c r="C33" s="115" t="s">
        <v>488</v>
      </c>
      <c r="D33" s="115">
        <v>1.0</v>
      </c>
      <c r="E33" s="120">
        <v>92.0</v>
      </c>
      <c r="F33" s="115" t="s">
        <v>489</v>
      </c>
      <c r="G33" s="117" t="s">
        <v>490</v>
      </c>
      <c r="H33" s="115" t="s">
        <v>396</v>
      </c>
      <c r="I33" s="108">
        <f t="shared" si="1"/>
        <v>92</v>
      </c>
      <c r="J33" s="103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</row>
    <row r="34" ht="15.75" customHeight="1">
      <c r="A34" s="115" t="s">
        <v>491</v>
      </c>
      <c r="B34" s="115">
        <v>1.0</v>
      </c>
      <c r="C34" s="115" t="s">
        <v>492</v>
      </c>
      <c r="D34" s="115">
        <v>1.0</v>
      </c>
      <c r="E34" s="120">
        <v>68.99</v>
      </c>
      <c r="F34" s="115" t="s">
        <v>493</v>
      </c>
      <c r="G34" s="117" t="s">
        <v>494</v>
      </c>
      <c r="H34" s="115" t="s">
        <v>401</v>
      </c>
      <c r="I34" s="108">
        <f t="shared" si="1"/>
        <v>68.99</v>
      </c>
      <c r="J34" s="103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</row>
    <row r="35" ht="15.75" customHeight="1">
      <c r="A35" s="107" t="s">
        <v>495</v>
      </c>
      <c r="B35" s="111">
        <v>1.0</v>
      </c>
      <c r="C35" s="107" t="s">
        <v>412</v>
      </c>
      <c r="D35" s="103">
        <v>1.0</v>
      </c>
      <c r="E35" s="120">
        <v>7.99</v>
      </c>
      <c r="F35" s="113" t="s">
        <v>496</v>
      </c>
      <c r="G35" s="121" t="s">
        <v>497</v>
      </c>
      <c r="H35" s="113" t="s">
        <v>401</v>
      </c>
      <c r="I35" s="108">
        <f t="shared" si="1"/>
        <v>7.99</v>
      </c>
      <c r="J35" s="103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</row>
    <row r="36" ht="15.75" customHeight="1">
      <c r="A36" s="107" t="s">
        <v>498</v>
      </c>
      <c r="B36" s="111">
        <v>1.0</v>
      </c>
      <c r="C36" s="107" t="s">
        <v>437</v>
      </c>
      <c r="D36" s="103">
        <v>2.0</v>
      </c>
      <c r="E36" s="116">
        <v>23.99</v>
      </c>
      <c r="F36" s="113" t="s">
        <v>499</v>
      </c>
      <c r="G36" s="121" t="s">
        <v>500</v>
      </c>
      <c r="H36" s="113" t="s">
        <v>401</v>
      </c>
      <c r="I36" s="108">
        <f t="shared" si="1"/>
        <v>47.98</v>
      </c>
      <c r="J36" s="103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</row>
    <row r="37" ht="15.75" customHeight="1">
      <c r="A37" s="107" t="s">
        <v>501</v>
      </c>
      <c r="B37" s="111">
        <v>1.0</v>
      </c>
      <c r="C37" s="107" t="s">
        <v>437</v>
      </c>
      <c r="D37" s="103">
        <v>1.0</v>
      </c>
      <c r="E37" s="120">
        <v>22.03</v>
      </c>
      <c r="F37" s="113" t="s">
        <v>502</v>
      </c>
      <c r="G37" s="121" t="s">
        <v>503</v>
      </c>
      <c r="H37" s="113" t="s">
        <v>401</v>
      </c>
      <c r="I37" s="108">
        <f t="shared" si="1"/>
        <v>22.03</v>
      </c>
      <c r="J37" s="103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</row>
    <row r="38" ht="15.75" customHeight="1">
      <c r="A38" s="107" t="s">
        <v>504</v>
      </c>
      <c r="B38" s="111">
        <v>1.0</v>
      </c>
      <c r="C38" s="115" t="s">
        <v>412</v>
      </c>
      <c r="D38" s="103">
        <v>4.0</v>
      </c>
      <c r="E38" s="116">
        <v>14.99</v>
      </c>
      <c r="F38" s="113" t="s">
        <v>505</v>
      </c>
      <c r="G38" s="121" t="s">
        <v>506</v>
      </c>
      <c r="H38" s="113" t="s">
        <v>401</v>
      </c>
      <c r="I38" s="108">
        <f t="shared" si="1"/>
        <v>59.96</v>
      </c>
      <c r="J38" s="103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</row>
    <row r="39" ht="15.75" customHeight="1">
      <c r="A39" s="107" t="s">
        <v>507</v>
      </c>
      <c r="B39" s="111">
        <v>1.0</v>
      </c>
      <c r="C39" s="115" t="s">
        <v>416</v>
      </c>
      <c r="D39" s="103">
        <v>1.0</v>
      </c>
      <c r="E39" s="116">
        <v>7.99</v>
      </c>
      <c r="F39" s="113" t="s">
        <v>508</v>
      </c>
      <c r="G39" s="121" t="s">
        <v>509</v>
      </c>
      <c r="H39" s="113" t="s">
        <v>401</v>
      </c>
      <c r="I39" s="108">
        <f t="shared" si="1"/>
        <v>7.99</v>
      </c>
      <c r="J39" s="103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</row>
    <row r="40" ht="15.75" customHeight="1">
      <c r="A40" s="107" t="s">
        <v>510</v>
      </c>
      <c r="B40" s="111">
        <v>1.0</v>
      </c>
      <c r="C40" s="107" t="s">
        <v>437</v>
      </c>
      <c r="D40" s="103">
        <v>2.0</v>
      </c>
      <c r="E40" s="116">
        <v>9.99</v>
      </c>
      <c r="F40" s="113" t="s">
        <v>511</v>
      </c>
      <c r="G40" s="121" t="s">
        <v>512</v>
      </c>
      <c r="H40" s="113" t="s">
        <v>401</v>
      </c>
      <c r="I40" s="108">
        <f t="shared" si="1"/>
        <v>19.98</v>
      </c>
      <c r="J40" s="103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</row>
    <row r="41" ht="15.75" customHeight="1">
      <c r="A41" s="107" t="s">
        <v>513</v>
      </c>
      <c r="B41" s="111">
        <v>2.0</v>
      </c>
      <c r="C41" s="107" t="s">
        <v>437</v>
      </c>
      <c r="D41" s="103">
        <v>2.0</v>
      </c>
      <c r="E41" s="116">
        <v>7.59</v>
      </c>
      <c r="F41" s="113" t="s">
        <v>514</v>
      </c>
      <c r="G41" s="121" t="s">
        <v>515</v>
      </c>
      <c r="H41" s="113" t="s">
        <v>401</v>
      </c>
      <c r="I41" s="108">
        <f t="shared" si="1"/>
        <v>15.18</v>
      </c>
      <c r="J41" s="103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</row>
    <row r="42" ht="15.75" customHeight="1">
      <c r="A42" s="107" t="s">
        <v>516</v>
      </c>
      <c r="B42" s="111">
        <v>2.0</v>
      </c>
      <c r="C42" s="107" t="s">
        <v>437</v>
      </c>
      <c r="D42" s="103">
        <v>3.0</v>
      </c>
      <c r="E42" s="120">
        <v>7.49</v>
      </c>
      <c r="F42" s="113" t="s">
        <v>514</v>
      </c>
      <c r="G42" s="121" t="s">
        <v>517</v>
      </c>
      <c r="H42" s="113" t="s">
        <v>401</v>
      </c>
      <c r="I42" s="108">
        <f t="shared" si="1"/>
        <v>22.47</v>
      </c>
      <c r="J42" s="103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</row>
    <row r="43" ht="15.75" customHeight="1">
      <c r="A43" s="107" t="s">
        <v>518</v>
      </c>
      <c r="B43" s="111">
        <v>10.0</v>
      </c>
      <c r="C43" s="107" t="s">
        <v>437</v>
      </c>
      <c r="D43" s="103">
        <v>2.0</v>
      </c>
      <c r="E43" s="116">
        <v>10.49</v>
      </c>
      <c r="F43" s="113" t="s">
        <v>514</v>
      </c>
      <c r="G43" s="121" t="s">
        <v>519</v>
      </c>
      <c r="H43" s="113" t="s">
        <v>401</v>
      </c>
      <c r="I43" s="108">
        <f t="shared" si="1"/>
        <v>20.98</v>
      </c>
      <c r="J43" s="103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</row>
    <row r="44" ht="15.75" customHeight="1">
      <c r="A44" s="107" t="s">
        <v>520</v>
      </c>
      <c r="B44" s="111">
        <v>15.0</v>
      </c>
      <c r="C44" s="115" t="s">
        <v>416</v>
      </c>
      <c r="D44" s="103">
        <v>2.0</v>
      </c>
      <c r="E44" s="120">
        <v>5.99</v>
      </c>
      <c r="F44" s="113" t="s">
        <v>521</v>
      </c>
      <c r="G44" s="121" t="s">
        <v>522</v>
      </c>
      <c r="H44" s="113" t="s">
        <v>401</v>
      </c>
      <c r="I44" s="108">
        <f t="shared" si="1"/>
        <v>11.98</v>
      </c>
      <c r="J44" s="103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ht="15.75" customHeight="1">
      <c r="A45" s="107" t="s">
        <v>523</v>
      </c>
      <c r="B45" s="111">
        <v>1.0</v>
      </c>
      <c r="C45" s="107" t="s">
        <v>412</v>
      </c>
      <c r="D45" s="103">
        <v>1.0</v>
      </c>
      <c r="E45" s="116">
        <v>79.99</v>
      </c>
      <c r="F45" s="113" t="s">
        <v>524</v>
      </c>
      <c r="G45" s="121" t="s">
        <v>525</v>
      </c>
      <c r="H45" s="113" t="s">
        <v>401</v>
      </c>
      <c r="I45" s="108">
        <f t="shared" si="1"/>
        <v>79.99</v>
      </c>
      <c r="J45" s="103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</row>
    <row r="46" ht="15.75" customHeight="1">
      <c r="A46" s="107" t="s">
        <v>526</v>
      </c>
      <c r="B46" s="111">
        <v>24.0</v>
      </c>
      <c r="C46" s="107" t="s">
        <v>527</v>
      </c>
      <c r="D46" s="103">
        <v>1.0</v>
      </c>
      <c r="E46" s="116">
        <v>18.99</v>
      </c>
      <c r="F46" s="113" t="s">
        <v>528</v>
      </c>
      <c r="G46" s="121" t="s">
        <v>529</v>
      </c>
      <c r="H46" s="113" t="s">
        <v>401</v>
      </c>
      <c r="I46" s="108">
        <f t="shared" si="1"/>
        <v>18.99</v>
      </c>
      <c r="J46" s="103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ht="15.75" customHeight="1">
      <c r="A47" s="107" t="s">
        <v>530</v>
      </c>
      <c r="B47" s="111">
        <v>1.0</v>
      </c>
      <c r="C47" s="115" t="s">
        <v>416</v>
      </c>
      <c r="D47" s="103">
        <v>2.0</v>
      </c>
      <c r="E47" s="120">
        <v>20.99</v>
      </c>
      <c r="F47" s="113" t="s">
        <v>531</v>
      </c>
      <c r="G47" s="121" t="s">
        <v>532</v>
      </c>
      <c r="H47" s="113" t="s">
        <v>401</v>
      </c>
      <c r="I47" s="108">
        <f t="shared" si="1"/>
        <v>41.98</v>
      </c>
      <c r="J47" s="103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ht="15.75" customHeight="1">
      <c r="A48" s="107" t="s">
        <v>533</v>
      </c>
      <c r="B48" s="111">
        <v>1.0</v>
      </c>
      <c r="C48" s="107" t="s">
        <v>534</v>
      </c>
      <c r="D48" s="103">
        <v>3.0</v>
      </c>
      <c r="E48" s="120">
        <v>227.02</v>
      </c>
      <c r="F48" s="113" t="s">
        <v>535</v>
      </c>
      <c r="G48" s="121" t="s">
        <v>536</v>
      </c>
      <c r="H48" s="113" t="s">
        <v>537</v>
      </c>
      <c r="I48" s="108">
        <f t="shared" si="1"/>
        <v>681.06</v>
      </c>
      <c r="J48" s="103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</row>
    <row r="49" ht="15.75" customHeight="1">
      <c r="A49" s="107" t="s">
        <v>538</v>
      </c>
      <c r="B49" s="111">
        <v>2.0</v>
      </c>
      <c r="C49" s="107" t="s">
        <v>412</v>
      </c>
      <c r="D49" s="103">
        <v>2.0</v>
      </c>
      <c r="E49" s="122">
        <v>14.99</v>
      </c>
      <c r="F49" s="113" t="s">
        <v>539</v>
      </c>
      <c r="G49" s="121" t="s">
        <v>540</v>
      </c>
      <c r="H49" s="113" t="s">
        <v>401</v>
      </c>
      <c r="I49" s="108">
        <f t="shared" si="1"/>
        <v>29.98</v>
      </c>
      <c r="J49" s="103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</row>
    <row r="50" ht="15.75" customHeight="1">
      <c r="A50" s="107" t="s">
        <v>541</v>
      </c>
      <c r="B50" s="111">
        <v>1.0</v>
      </c>
      <c r="C50" s="107" t="s">
        <v>534</v>
      </c>
      <c r="D50" s="103">
        <v>1.0</v>
      </c>
      <c r="E50" s="120">
        <v>175.0</v>
      </c>
      <c r="F50" s="113" t="s">
        <v>542</v>
      </c>
      <c r="G50" s="121" t="s">
        <v>543</v>
      </c>
      <c r="H50" s="113" t="s">
        <v>544</v>
      </c>
      <c r="I50" s="108">
        <f t="shared" si="1"/>
        <v>175</v>
      </c>
      <c r="J50" s="103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</row>
    <row r="51" ht="15.75" customHeight="1">
      <c r="A51" s="107" t="s">
        <v>545</v>
      </c>
      <c r="B51" s="111">
        <v>1.0</v>
      </c>
      <c r="C51" s="107"/>
      <c r="D51" s="103">
        <v>1.0</v>
      </c>
      <c r="E51" s="120">
        <v>68.99</v>
      </c>
      <c r="F51" s="113" t="s">
        <v>546</v>
      </c>
      <c r="G51" s="121" t="s">
        <v>547</v>
      </c>
      <c r="H51" s="113" t="s">
        <v>548</v>
      </c>
      <c r="I51" s="108">
        <f t="shared" si="1"/>
        <v>68.99</v>
      </c>
      <c r="J51" s="103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ht="15.75" customHeight="1">
      <c r="A52" s="107" t="s">
        <v>549</v>
      </c>
      <c r="B52" s="106">
        <v>1.0</v>
      </c>
      <c r="C52" s="107"/>
      <c r="D52" s="107">
        <v>2.0</v>
      </c>
      <c r="E52" s="108">
        <v>45.0</v>
      </c>
      <c r="F52" s="113" t="s">
        <v>546</v>
      </c>
      <c r="G52" s="110" t="s">
        <v>550</v>
      </c>
      <c r="H52" s="113" t="s">
        <v>548</v>
      </c>
      <c r="I52" s="108">
        <f t="shared" si="1"/>
        <v>90</v>
      </c>
      <c r="J52" s="103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ht="15.75" customHeight="1">
      <c r="A53" s="109" t="s">
        <v>551</v>
      </c>
      <c r="B53" s="106">
        <v>1.0</v>
      </c>
      <c r="C53" s="109"/>
      <c r="D53" s="107">
        <v>1.0</v>
      </c>
      <c r="E53" s="108">
        <v>1260.0</v>
      </c>
      <c r="F53" s="109" t="s">
        <v>546</v>
      </c>
      <c r="G53" s="110" t="s">
        <v>552</v>
      </c>
      <c r="H53" s="113" t="s">
        <v>548</v>
      </c>
      <c r="I53" s="108">
        <f t="shared" si="1"/>
        <v>1260</v>
      </c>
      <c r="J53" s="103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ht="15.75" customHeight="1">
      <c r="A54" s="109" t="s">
        <v>553</v>
      </c>
      <c r="B54" s="106">
        <v>1.0</v>
      </c>
      <c r="C54" s="109"/>
      <c r="D54" s="107">
        <v>1.0</v>
      </c>
      <c r="E54" s="108">
        <v>210.0</v>
      </c>
      <c r="F54" s="109" t="s">
        <v>546</v>
      </c>
      <c r="G54" s="121" t="s">
        <v>554</v>
      </c>
      <c r="H54" s="113" t="s">
        <v>548</v>
      </c>
      <c r="I54" s="108">
        <f t="shared" si="1"/>
        <v>210</v>
      </c>
      <c r="J54" s="103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</row>
    <row r="55" ht="15.75" customHeight="1">
      <c r="A55" s="109" t="s">
        <v>555</v>
      </c>
      <c r="B55" s="106">
        <v>1.0</v>
      </c>
      <c r="C55" s="109"/>
      <c r="D55" s="107">
        <v>1.0</v>
      </c>
      <c r="E55" s="108">
        <v>230.0</v>
      </c>
      <c r="F55" s="109" t="s">
        <v>546</v>
      </c>
      <c r="G55" s="123" t="s">
        <v>556</v>
      </c>
      <c r="H55" s="113" t="s">
        <v>548</v>
      </c>
      <c r="I55" s="108">
        <f t="shared" si="1"/>
        <v>230</v>
      </c>
      <c r="J55" s="103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</row>
    <row r="56" ht="15.75" customHeight="1">
      <c r="A56" s="109" t="s">
        <v>557</v>
      </c>
      <c r="B56" s="106">
        <v>1.0</v>
      </c>
      <c r="C56" s="109"/>
      <c r="D56" s="107">
        <v>30.0</v>
      </c>
      <c r="E56" s="108">
        <v>3.0</v>
      </c>
      <c r="F56" s="109" t="s">
        <v>558</v>
      </c>
      <c r="G56" s="109" t="s">
        <v>465</v>
      </c>
      <c r="H56" s="107" t="s">
        <v>465</v>
      </c>
      <c r="I56" s="108">
        <f>D56 * E56</f>
        <v>90</v>
      </c>
      <c r="J56" s="103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</row>
    <row r="57" ht="15.75" customHeight="1">
      <c r="A57" s="124" t="s">
        <v>559</v>
      </c>
      <c r="B57" s="125">
        <v>1.0</v>
      </c>
      <c r="C57" s="124"/>
      <c r="D57" s="126"/>
      <c r="E57" s="127">
        <v>200.0</v>
      </c>
      <c r="F57" s="124"/>
      <c r="G57" s="124"/>
      <c r="H57" s="126"/>
      <c r="I57" s="108">
        <v>200.0</v>
      </c>
      <c r="J57" s="103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</row>
    <row r="58" ht="15.75" customHeight="1">
      <c r="A58" s="109"/>
      <c r="B58" s="107"/>
      <c r="C58" s="109"/>
      <c r="D58" s="107"/>
      <c r="E58" s="128"/>
      <c r="F58" s="109"/>
      <c r="G58" s="109"/>
      <c r="H58" s="107"/>
      <c r="I58" s="108">
        <f>SUM(I2:I57)</f>
        <v>7656.37</v>
      </c>
      <c r="J58" s="103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</row>
    <row r="59" ht="15.75" customHeight="1">
      <c r="A59" s="129"/>
      <c r="B59" s="130"/>
      <c r="C59" s="129"/>
      <c r="D59" s="130"/>
      <c r="E59" s="131"/>
      <c r="F59" s="129"/>
      <c r="G59" s="129"/>
      <c r="H59" s="130"/>
      <c r="I59" s="131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</row>
    <row r="60" ht="15.75" customHeight="1">
      <c r="A60" s="129"/>
      <c r="B60" s="130"/>
      <c r="C60" s="129"/>
      <c r="D60" s="130"/>
      <c r="E60" s="131"/>
      <c r="F60" s="129"/>
      <c r="G60" s="129"/>
      <c r="H60" s="130"/>
      <c r="I60" s="131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</row>
    <row r="61" ht="15.75" customHeight="1">
      <c r="A61" s="129"/>
      <c r="B61" s="130"/>
      <c r="C61" s="129"/>
      <c r="D61" s="130"/>
      <c r="E61" s="131"/>
      <c r="F61" s="129"/>
      <c r="G61" s="129"/>
      <c r="H61" s="130"/>
      <c r="I61" s="131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</row>
    <row r="62" ht="15.75" customHeight="1">
      <c r="A62" s="129"/>
      <c r="B62" s="130"/>
      <c r="C62" s="129"/>
      <c r="D62" s="130"/>
      <c r="E62" s="131"/>
      <c r="F62" s="129"/>
      <c r="G62" s="132"/>
      <c r="H62" s="130"/>
      <c r="I62" s="131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</row>
    <row r="63" ht="15.75" customHeight="1">
      <c r="A63" s="129"/>
      <c r="B63" s="130"/>
      <c r="C63" s="129"/>
      <c r="D63" s="130"/>
      <c r="E63" s="131"/>
      <c r="F63" s="129"/>
      <c r="G63" s="133"/>
      <c r="H63" s="130"/>
      <c r="I63" s="131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</row>
    <row r="64" ht="15.75" customHeight="1">
      <c r="A64" s="129"/>
      <c r="B64" s="130"/>
      <c r="C64" s="129"/>
      <c r="D64" s="130"/>
      <c r="E64" s="131"/>
      <c r="F64" s="129"/>
      <c r="G64" s="129"/>
      <c r="H64" s="130"/>
      <c r="I64" s="131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</row>
    <row r="65" ht="15.75" customHeight="1">
      <c r="A65" s="129"/>
      <c r="B65" s="130"/>
      <c r="C65" s="129"/>
      <c r="D65" s="130"/>
      <c r="E65" s="131"/>
      <c r="F65" s="129"/>
      <c r="G65" s="133"/>
      <c r="H65" s="130"/>
      <c r="I65" s="131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</row>
    <row r="66" ht="15.75" customHeight="1">
      <c r="A66" s="129"/>
      <c r="B66" s="130"/>
      <c r="C66" s="129"/>
      <c r="D66" s="130"/>
      <c r="E66" s="131"/>
      <c r="F66" s="129"/>
      <c r="G66" s="133"/>
      <c r="H66" s="130"/>
      <c r="I66" s="131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</row>
    <row r="67" ht="15.75" customHeight="1">
      <c r="A67" s="129"/>
      <c r="B67" s="130"/>
      <c r="C67" s="129"/>
      <c r="D67" s="130"/>
      <c r="E67" s="131"/>
      <c r="F67" s="129"/>
      <c r="G67" s="129"/>
      <c r="H67" s="130"/>
      <c r="I67" s="131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</row>
    <row r="68" ht="15.75" customHeight="1">
      <c r="A68" s="129"/>
      <c r="B68" s="130"/>
      <c r="C68" s="129"/>
      <c r="D68" s="130"/>
      <c r="E68" s="131"/>
      <c r="F68" s="129"/>
      <c r="G68" s="129"/>
      <c r="H68" s="130"/>
      <c r="I68" s="131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</row>
    <row r="69" ht="15.75" customHeight="1">
      <c r="A69" s="129"/>
      <c r="B69" s="130"/>
      <c r="C69" s="129"/>
      <c r="D69" s="130"/>
      <c r="E69" s="131"/>
      <c r="F69" s="129"/>
      <c r="G69" s="133"/>
      <c r="H69" s="130"/>
      <c r="I69" s="131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</row>
    <row r="70" ht="15.75" customHeight="1">
      <c r="A70" s="129"/>
      <c r="B70" s="130"/>
      <c r="C70" s="129"/>
      <c r="D70" s="130"/>
      <c r="E70" s="131"/>
      <c r="F70" s="129"/>
      <c r="G70" s="133"/>
      <c r="H70" s="130"/>
      <c r="I70" s="131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</row>
    <row r="71" ht="15.75" customHeight="1">
      <c r="A71" s="129"/>
      <c r="B71" s="130"/>
      <c r="C71" s="129"/>
      <c r="D71" s="130"/>
      <c r="E71" s="131"/>
      <c r="F71" s="129"/>
      <c r="G71" s="133"/>
      <c r="H71" s="130"/>
      <c r="I71" s="131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</row>
    <row r="72" ht="15.75" customHeight="1">
      <c r="A72" s="129"/>
      <c r="B72" s="130"/>
      <c r="C72" s="129"/>
      <c r="D72" s="130"/>
      <c r="E72" s="131"/>
      <c r="F72" s="129"/>
      <c r="G72" s="129"/>
      <c r="H72" s="130"/>
      <c r="I72" s="131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</row>
    <row r="73" ht="15.75" customHeight="1">
      <c r="A73" s="129"/>
      <c r="B73" s="130"/>
      <c r="C73" s="129"/>
      <c r="D73" s="130"/>
      <c r="E73" s="131"/>
      <c r="F73" s="129"/>
      <c r="G73" s="132"/>
      <c r="H73" s="130"/>
      <c r="I73" s="131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</row>
    <row r="74" ht="15.75" customHeight="1">
      <c r="A74" s="129"/>
      <c r="B74" s="130"/>
      <c r="C74" s="129"/>
      <c r="D74" s="130"/>
      <c r="E74" s="131"/>
      <c r="F74" s="129"/>
      <c r="G74" s="132"/>
      <c r="H74" s="130"/>
      <c r="I74" s="131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</row>
    <row r="75" ht="15.75" customHeight="1">
      <c r="A75" s="104"/>
      <c r="B75" s="104"/>
      <c r="C75" s="104"/>
      <c r="D75" s="104"/>
      <c r="E75" s="104"/>
      <c r="F75" s="104"/>
      <c r="G75" s="104"/>
      <c r="H75" s="104"/>
      <c r="I75" s="131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</row>
    <row r="76" ht="15.75" customHeight="1">
      <c r="A76" s="104"/>
      <c r="B76" s="104"/>
      <c r="C76" s="104"/>
      <c r="D76" s="104"/>
      <c r="E76" s="104"/>
      <c r="F76" s="104"/>
      <c r="G76" s="104"/>
      <c r="H76" s="104"/>
      <c r="I76" s="131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</row>
    <row r="77" ht="15.75" customHeight="1">
      <c r="A77" s="104"/>
      <c r="B77" s="104"/>
      <c r="C77" s="104"/>
      <c r="D77" s="104"/>
      <c r="E77" s="104"/>
      <c r="F77" s="104"/>
      <c r="G77" s="104"/>
      <c r="H77" s="104"/>
      <c r="I77" s="131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</row>
    <row r="78" ht="15.75" customHeight="1">
      <c r="A78" s="104"/>
      <c r="B78" s="104"/>
      <c r="C78" s="104"/>
      <c r="D78" s="104"/>
      <c r="E78" s="104"/>
      <c r="F78" s="104"/>
      <c r="G78" s="104"/>
      <c r="H78" s="104"/>
      <c r="I78" s="131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</row>
    <row r="79" ht="15.75" customHeight="1">
      <c r="A79" s="104"/>
      <c r="B79" s="104"/>
      <c r="C79" s="104"/>
      <c r="D79" s="104"/>
      <c r="E79" s="104"/>
      <c r="F79" s="104"/>
      <c r="G79" s="104"/>
      <c r="H79" s="104"/>
      <c r="I79" s="131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</row>
    <row r="80" ht="15.75" customHeight="1">
      <c r="A80" s="104"/>
      <c r="B80" s="104"/>
      <c r="C80" s="104"/>
      <c r="D80" s="104"/>
      <c r="E80" s="104"/>
      <c r="F80" s="104"/>
      <c r="G80" s="104"/>
      <c r="H80" s="104"/>
      <c r="I80" s="131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</row>
    <row r="81" ht="15.75" customHeight="1">
      <c r="A81" s="104"/>
      <c r="B81" s="104"/>
      <c r="C81" s="104"/>
      <c r="D81" s="104"/>
      <c r="E81" s="104"/>
      <c r="F81" s="104"/>
      <c r="G81" s="104"/>
      <c r="H81" s="104"/>
      <c r="I81" s="131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</row>
    <row r="82" ht="15.75" customHeight="1">
      <c r="A82" s="104"/>
      <c r="B82" s="104"/>
      <c r="C82" s="104"/>
      <c r="D82" s="104"/>
      <c r="E82" s="104"/>
      <c r="F82" s="104"/>
      <c r="G82" s="104"/>
      <c r="H82" s="104"/>
      <c r="I82" s="131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</row>
    <row r="83" ht="15.75" customHeight="1">
      <c r="A83" s="104"/>
      <c r="B83" s="104"/>
      <c r="C83" s="104"/>
      <c r="D83" s="104"/>
      <c r="E83" s="104"/>
      <c r="F83" s="104"/>
      <c r="G83" s="104"/>
      <c r="H83" s="104"/>
      <c r="I83" s="131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</row>
    <row r="84" ht="15.75" customHeight="1">
      <c r="A84" s="104"/>
      <c r="B84" s="104"/>
      <c r="C84" s="104"/>
      <c r="D84" s="104"/>
      <c r="E84" s="104"/>
      <c r="F84" s="104"/>
      <c r="G84" s="104"/>
      <c r="H84" s="104"/>
      <c r="I84" s="131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</row>
    <row r="85" ht="15.75" customHeight="1">
      <c r="A85" s="104"/>
      <c r="B85" s="104"/>
      <c r="C85" s="104"/>
      <c r="D85" s="104"/>
      <c r="E85" s="104"/>
      <c r="F85" s="104"/>
      <c r="G85" s="104"/>
      <c r="H85" s="104"/>
      <c r="I85" s="131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</row>
    <row r="86" ht="15.75" customHeight="1">
      <c r="A86" s="104"/>
      <c r="B86" s="104"/>
      <c r="C86" s="104"/>
      <c r="D86" s="104"/>
      <c r="E86" s="104"/>
      <c r="F86" s="104"/>
      <c r="G86" s="104"/>
      <c r="H86" s="104"/>
      <c r="I86" s="131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</row>
    <row r="87" ht="15.75" customHeight="1">
      <c r="A87" s="104"/>
      <c r="B87" s="104"/>
      <c r="C87" s="104"/>
      <c r="D87" s="104"/>
      <c r="E87" s="104"/>
      <c r="F87" s="104"/>
      <c r="G87" s="104"/>
      <c r="H87" s="104"/>
      <c r="I87" s="131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</row>
    <row r="88" ht="15.75" customHeight="1">
      <c r="A88" s="104"/>
      <c r="B88" s="104"/>
      <c r="C88" s="104"/>
      <c r="D88" s="104"/>
      <c r="E88" s="104"/>
      <c r="F88" s="104"/>
      <c r="G88" s="104"/>
      <c r="H88" s="104"/>
      <c r="I88" s="131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</row>
    <row r="89" ht="15.75" customHeight="1">
      <c r="A89" s="104"/>
      <c r="B89" s="104"/>
      <c r="C89" s="104"/>
      <c r="D89" s="104"/>
      <c r="E89" s="104"/>
      <c r="F89" s="104"/>
      <c r="G89" s="104"/>
      <c r="H89" s="104"/>
      <c r="I89" s="131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</row>
    <row r="90" ht="15.75" customHeight="1">
      <c r="A90" s="104"/>
      <c r="B90" s="104"/>
      <c r="C90" s="104"/>
      <c r="D90" s="104"/>
      <c r="E90" s="104"/>
      <c r="F90" s="104"/>
      <c r="G90" s="104"/>
      <c r="H90" s="104"/>
      <c r="I90" s="131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</row>
    <row r="91" ht="15.75" customHeight="1">
      <c r="A91" s="104"/>
      <c r="B91" s="104"/>
      <c r="C91" s="104"/>
      <c r="D91" s="104"/>
      <c r="E91" s="104"/>
      <c r="F91" s="104"/>
      <c r="G91" s="104"/>
      <c r="H91" s="104"/>
      <c r="I91" s="131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</row>
    <row r="92" ht="15.75" customHeight="1">
      <c r="A92" s="104"/>
      <c r="B92" s="104"/>
      <c r="C92" s="104"/>
      <c r="D92" s="104"/>
      <c r="E92" s="104"/>
      <c r="F92" s="104"/>
      <c r="G92" s="104"/>
      <c r="H92" s="104"/>
      <c r="I92" s="131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</row>
    <row r="93" ht="15.75" customHeight="1">
      <c r="A93" s="104"/>
      <c r="B93" s="104"/>
      <c r="C93" s="104"/>
      <c r="D93" s="104"/>
      <c r="E93" s="104"/>
      <c r="F93" s="104"/>
      <c r="G93" s="104"/>
      <c r="H93" s="104"/>
      <c r="I93" s="131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</row>
    <row r="94" ht="15.75" customHeight="1">
      <c r="A94" s="104"/>
      <c r="B94" s="104"/>
      <c r="C94" s="104"/>
      <c r="D94" s="104"/>
      <c r="E94" s="104"/>
      <c r="F94" s="104"/>
      <c r="G94" s="104"/>
      <c r="H94" s="104"/>
      <c r="I94" s="131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</row>
    <row r="95" ht="15.75" customHeight="1">
      <c r="A95" s="104"/>
      <c r="B95" s="104"/>
      <c r="C95" s="104"/>
      <c r="D95" s="104"/>
      <c r="E95" s="104"/>
      <c r="F95" s="104"/>
      <c r="G95" s="104"/>
      <c r="H95" s="104"/>
      <c r="I95" s="131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</row>
    <row r="96" ht="15.75" customHeight="1">
      <c r="A96" s="104"/>
      <c r="B96" s="104"/>
      <c r="C96" s="104"/>
      <c r="D96" s="104"/>
      <c r="E96" s="104"/>
      <c r="F96" s="104"/>
      <c r="G96" s="104"/>
      <c r="H96" s="104"/>
      <c r="I96" s="131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</row>
    <row r="97" ht="15.75" customHeight="1">
      <c r="A97" s="104"/>
      <c r="B97" s="104"/>
      <c r="C97" s="104"/>
      <c r="D97" s="104"/>
      <c r="E97" s="104"/>
      <c r="F97" s="104"/>
      <c r="G97" s="104"/>
      <c r="H97" s="104"/>
      <c r="I97" s="131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</row>
    <row r="98" ht="15.75" customHeight="1">
      <c r="A98" s="104"/>
      <c r="B98" s="104"/>
      <c r="C98" s="104"/>
      <c r="D98" s="104"/>
      <c r="E98" s="104"/>
      <c r="F98" s="104"/>
      <c r="G98" s="104"/>
      <c r="H98" s="104"/>
      <c r="I98" s="131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</row>
    <row r="99" ht="15.75" customHeight="1">
      <c r="A99" s="104"/>
      <c r="B99" s="104"/>
      <c r="C99" s="104"/>
      <c r="D99" s="104"/>
      <c r="E99" s="104"/>
      <c r="F99" s="104"/>
      <c r="G99" s="104"/>
      <c r="H99" s="104"/>
      <c r="I99" s="131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</row>
    <row r="100" ht="15.75" customHeight="1">
      <c r="A100" s="104"/>
      <c r="B100" s="104"/>
      <c r="C100" s="104"/>
      <c r="D100" s="104"/>
      <c r="E100" s="104"/>
      <c r="F100" s="104"/>
      <c r="G100" s="104"/>
      <c r="H100" s="104"/>
      <c r="I100" s="131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</row>
    <row r="101" ht="15.75" customHeight="1">
      <c r="A101" s="104"/>
      <c r="B101" s="104"/>
      <c r="C101" s="104"/>
      <c r="D101" s="104"/>
      <c r="E101" s="104"/>
      <c r="F101" s="104"/>
      <c r="G101" s="104"/>
      <c r="H101" s="104"/>
      <c r="I101" s="131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</row>
    <row r="102" ht="15.75" customHeight="1">
      <c r="A102" s="104"/>
      <c r="B102" s="104"/>
      <c r="C102" s="104"/>
      <c r="D102" s="104"/>
      <c r="E102" s="104"/>
      <c r="F102" s="104"/>
      <c r="G102" s="104"/>
      <c r="H102" s="104"/>
      <c r="I102" s="131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</row>
    <row r="103" ht="15.75" customHeight="1">
      <c r="A103" s="104"/>
      <c r="B103" s="104"/>
      <c r="C103" s="104"/>
      <c r="D103" s="104"/>
      <c r="E103" s="104"/>
      <c r="F103" s="104"/>
      <c r="G103" s="104"/>
      <c r="H103" s="104"/>
      <c r="I103" s="131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</row>
    <row r="104" ht="15.75" customHeight="1">
      <c r="A104" s="104"/>
      <c r="B104" s="104"/>
      <c r="C104" s="104"/>
      <c r="D104" s="104"/>
      <c r="E104" s="104"/>
      <c r="F104" s="104"/>
      <c r="G104" s="104"/>
      <c r="H104" s="104"/>
      <c r="I104" s="131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</row>
    <row r="105" ht="15.75" customHeight="1">
      <c r="A105" s="104"/>
      <c r="B105" s="104"/>
      <c r="C105" s="104"/>
      <c r="D105" s="104"/>
      <c r="E105" s="104"/>
      <c r="F105" s="104"/>
      <c r="G105" s="104"/>
      <c r="H105" s="104"/>
      <c r="I105" s="131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</row>
    <row r="106" ht="15.75" customHeight="1">
      <c r="A106" s="104"/>
      <c r="B106" s="104"/>
      <c r="C106" s="104"/>
      <c r="D106" s="104"/>
      <c r="E106" s="104"/>
      <c r="F106" s="104"/>
      <c r="G106" s="104"/>
      <c r="H106" s="104"/>
      <c r="I106" s="131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</row>
    <row r="107" ht="15.75" customHeight="1">
      <c r="A107" s="104"/>
      <c r="B107" s="104"/>
      <c r="C107" s="104"/>
      <c r="D107" s="104"/>
      <c r="E107" s="104"/>
      <c r="F107" s="104"/>
      <c r="G107" s="104"/>
      <c r="H107" s="104"/>
      <c r="I107" s="131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</row>
    <row r="108" ht="15.75" customHeight="1">
      <c r="A108" s="104"/>
      <c r="B108" s="104"/>
      <c r="C108" s="104"/>
      <c r="D108" s="104"/>
      <c r="E108" s="104"/>
      <c r="F108" s="104"/>
      <c r="G108" s="104"/>
      <c r="H108" s="104"/>
      <c r="I108" s="131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</row>
    <row r="109" ht="15.75" customHeight="1">
      <c r="A109" s="104"/>
      <c r="B109" s="104"/>
      <c r="C109" s="104"/>
      <c r="D109" s="104"/>
      <c r="E109" s="104"/>
      <c r="F109" s="104"/>
      <c r="G109" s="104"/>
      <c r="H109" s="104"/>
      <c r="I109" s="131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</row>
    <row r="110" ht="15.75" customHeight="1">
      <c r="A110" s="104"/>
      <c r="B110" s="104"/>
      <c r="C110" s="104"/>
      <c r="D110" s="104"/>
      <c r="E110" s="104"/>
      <c r="F110" s="104"/>
      <c r="G110" s="104"/>
      <c r="H110" s="104"/>
      <c r="I110" s="131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</row>
    <row r="111" ht="15.75" customHeight="1">
      <c r="A111" s="104"/>
      <c r="B111" s="104"/>
      <c r="C111" s="104"/>
      <c r="D111" s="104"/>
      <c r="E111" s="104"/>
      <c r="F111" s="104"/>
      <c r="G111" s="104"/>
      <c r="H111" s="104"/>
      <c r="I111" s="131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</row>
    <row r="112" ht="15.75" customHeight="1">
      <c r="A112" s="104"/>
      <c r="B112" s="104"/>
      <c r="C112" s="104"/>
      <c r="D112" s="104"/>
      <c r="E112" s="104"/>
      <c r="F112" s="104"/>
      <c r="G112" s="104"/>
      <c r="H112" s="104"/>
      <c r="I112" s="131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</row>
    <row r="113" ht="15.75" customHeight="1">
      <c r="A113" s="104"/>
      <c r="B113" s="104"/>
      <c r="C113" s="104"/>
      <c r="D113" s="104"/>
      <c r="E113" s="104"/>
      <c r="F113" s="104"/>
      <c r="G113" s="104"/>
      <c r="H113" s="104"/>
      <c r="I113" s="131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</row>
    <row r="114" ht="15.75" customHeight="1">
      <c r="A114" s="104"/>
      <c r="B114" s="104"/>
      <c r="C114" s="104"/>
      <c r="D114" s="104"/>
      <c r="E114" s="104"/>
      <c r="F114" s="104"/>
      <c r="G114" s="104"/>
      <c r="H114" s="104"/>
      <c r="I114" s="131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</row>
    <row r="115" ht="15.75" customHeight="1">
      <c r="A115" s="104"/>
      <c r="B115" s="104"/>
      <c r="C115" s="104"/>
      <c r="D115" s="104"/>
      <c r="E115" s="104"/>
      <c r="F115" s="104"/>
      <c r="G115" s="104"/>
      <c r="H115" s="104"/>
      <c r="I115" s="131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</row>
    <row r="116" ht="15.75" customHeight="1">
      <c r="A116" s="104"/>
      <c r="B116" s="104"/>
      <c r="C116" s="104"/>
      <c r="D116" s="104"/>
      <c r="E116" s="104"/>
      <c r="F116" s="104"/>
      <c r="G116" s="104"/>
      <c r="H116" s="104"/>
      <c r="I116" s="131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</row>
    <row r="117" ht="15.75" customHeight="1">
      <c r="A117" s="104"/>
      <c r="B117" s="104"/>
      <c r="C117" s="104"/>
      <c r="D117" s="104"/>
      <c r="E117" s="104"/>
      <c r="F117" s="104"/>
      <c r="G117" s="104"/>
      <c r="H117" s="104"/>
      <c r="I117" s="131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</row>
    <row r="118" ht="15.75" customHeight="1">
      <c r="A118" s="104"/>
      <c r="B118" s="104"/>
      <c r="C118" s="104"/>
      <c r="D118" s="104"/>
      <c r="E118" s="104"/>
      <c r="F118" s="104"/>
      <c r="G118" s="104"/>
      <c r="H118" s="104"/>
      <c r="I118" s="131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</row>
    <row r="119" ht="15.75" customHeight="1">
      <c r="A119" s="104"/>
      <c r="B119" s="104"/>
      <c r="C119" s="104"/>
      <c r="D119" s="104"/>
      <c r="E119" s="104"/>
      <c r="F119" s="104"/>
      <c r="G119" s="104"/>
      <c r="H119" s="104"/>
      <c r="I119" s="131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</row>
    <row r="120" ht="15.75" customHeight="1">
      <c r="A120" s="104"/>
      <c r="B120" s="104"/>
      <c r="C120" s="104"/>
      <c r="D120" s="104"/>
      <c r="E120" s="104"/>
      <c r="F120" s="104"/>
      <c r="G120" s="104"/>
      <c r="H120" s="104"/>
      <c r="I120" s="131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</row>
    <row r="121" ht="15.75" customHeight="1">
      <c r="A121" s="104"/>
      <c r="B121" s="104"/>
      <c r="C121" s="104"/>
      <c r="D121" s="104"/>
      <c r="E121" s="104"/>
      <c r="F121" s="104"/>
      <c r="G121" s="104"/>
      <c r="H121" s="104"/>
      <c r="I121" s="131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</row>
    <row r="122" ht="15.75" customHeight="1">
      <c r="A122" s="104"/>
      <c r="B122" s="104"/>
      <c r="C122" s="104"/>
      <c r="D122" s="104"/>
      <c r="E122" s="104"/>
      <c r="F122" s="104"/>
      <c r="G122" s="104"/>
      <c r="H122" s="104"/>
      <c r="I122" s="131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</row>
    <row r="123" ht="15.75" customHeight="1">
      <c r="A123" s="104"/>
      <c r="B123" s="104"/>
      <c r="C123" s="104"/>
      <c r="D123" s="104"/>
      <c r="E123" s="104"/>
      <c r="F123" s="104"/>
      <c r="G123" s="104"/>
      <c r="H123" s="104"/>
      <c r="I123" s="131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</row>
    <row r="124" ht="15.75" customHeight="1">
      <c r="A124" s="104"/>
      <c r="B124" s="104"/>
      <c r="C124" s="104"/>
      <c r="D124" s="104"/>
      <c r="E124" s="104"/>
      <c r="F124" s="104"/>
      <c r="G124" s="104"/>
      <c r="H124" s="104"/>
      <c r="I124" s="131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</row>
    <row r="125" ht="15.75" customHeight="1">
      <c r="A125" s="104"/>
      <c r="B125" s="104"/>
      <c r="C125" s="104"/>
      <c r="D125" s="104"/>
      <c r="E125" s="104"/>
      <c r="F125" s="104"/>
      <c r="G125" s="104"/>
      <c r="H125" s="104"/>
      <c r="I125" s="131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</row>
    <row r="126" ht="15.75" customHeight="1">
      <c r="A126" s="104"/>
      <c r="B126" s="104"/>
      <c r="C126" s="104"/>
      <c r="D126" s="104"/>
      <c r="E126" s="104"/>
      <c r="F126" s="104"/>
      <c r="G126" s="104"/>
      <c r="H126" s="104"/>
      <c r="I126" s="131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</row>
    <row r="127" ht="15.75" customHeight="1">
      <c r="A127" s="104"/>
      <c r="B127" s="104"/>
      <c r="C127" s="104"/>
      <c r="D127" s="104"/>
      <c r="E127" s="104"/>
      <c r="F127" s="104"/>
      <c r="G127" s="104"/>
      <c r="H127" s="104"/>
      <c r="I127" s="131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</row>
    <row r="128" ht="15.75" customHeight="1">
      <c r="A128" s="104"/>
      <c r="B128" s="104"/>
      <c r="C128" s="104"/>
      <c r="D128" s="104"/>
      <c r="E128" s="104"/>
      <c r="F128" s="104"/>
      <c r="G128" s="104"/>
      <c r="H128" s="104"/>
      <c r="I128" s="131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</row>
    <row r="129" ht="15.75" customHeight="1">
      <c r="A129" s="104"/>
      <c r="B129" s="104"/>
      <c r="C129" s="104"/>
      <c r="D129" s="104"/>
      <c r="E129" s="104"/>
      <c r="F129" s="104"/>
      <c r="G129" s="104"/>
      <c r="H129" s="104"/>
      <c r="I129" s="131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</row>
    <row r="130" ht="15.75" customHeight="1">
      <c r="A130" s="104"/>
      <c r="B130" s="104"/>
      <c r="C130" s="104"/>
      <c r="D130" s="104"/>
      <c r="E130" s="104"/>
      <c r="F130" s="104"/>
      <c r="G130" s="104"/>
      <c r="H130" s="104"/>
      <c r="I130" s="131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</row>
    <row r="131" ht="15.75" customHeight="1">
      <c r="A131" s="104"/>
      <c r="B131" s="104"/>
      <c r="C131" s="104"/>
      <c r="D131" s="104"/>
      <c r="E131" s="104"/>
      <c r="F131" s="104"/>
      <c r="G131" s="104"/>
      <c r="H131" s="104"/>
      <c r="I131" s="131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</row>
    <row r="132" ht="15.75" customHeight="1">
      <c r="A132" s="104"/>
      <c r="B132" s="104"/>
      <c r="C132" s="104"/>
      <c r="D132" s="104"/>
      <c r="E132" s="104"/>
      <c r="F132" s="104"/>
      <c r="G132" s="104"/>
      <c r="H132" s="104"/>
      <c r="I132" s="131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</row>
    <row r="133" ht="15.75" customHeight="1">
      <c r="A133" s="104"/>
      <c r="B133" s="104"/>
      <c r="C133" s="104"/>
      <c r="D133" s="104"/>
      <c r="E133" s="104"/>
      <c r="F133" s="104"/>
      <c r="G133" s="104"/>
      <c r="H133" s="104"/>
      <c r="I133" s="131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</row>
    <row r="134" ht="15.75" customHeight="1">
      <c r="A134" s="104"/>
      <c r="B134" s="104"/>
      <c r="C134" s="104"/>
      <c r="D134" s="104"/>
      <c r="E134" s="104"/>
      <c r="F134" s="104"/>
      <c r="G134" s="104"/>
      <c r="H134" s="104"/>
      <c r="I134" s="131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</row>
    <row r="135" ht="15.75" customHeight="1">
      <c r="A135" s="104"/>
      <c r="B135" s="104"/>
      <c r="C135" s="104"/>
      <c r="D135" s="104"/>
      <c r="E135" s="104"/>
      <c r="F135" s="104"/>
      <c r="G135" s="104"/>
      <c r="H135" s="104"/>
      <c r="I135" s="131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</row>
    <row r="136" ht="15.75" customHeight="1">
      <c r="A136" s="104"/>
      <c r="B136" s="104"/>
      <c r="C136" s="104"/>
      <c r="D136" s="104"/>
      <c r="E136" s="104"/>
      <c r="F136" s="104"/>
      <c r="G136" s="104"/>
      <c r="H136" s="104"/>
      <c r="I136" s="131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</row>
    <row r="137" ht="15.75" customHeight="1">
      <c r="A137" s="104"/>
      <c r="B137" s="104"/>
      <c r="C137" s="104"/>
      <c r="D137" s="104"/>
      <c r="E137" s="104"/>
      <c r="F137" s="104"/>
      <c r="G137" s="104"/>
      <c r="H137" s="104"/>
      <c r="I137" s="131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</row>
    <row r="138" ht="15.75" customHeight="1">
      <c r="A138" s="104"/>
      <c r="B138" s="104"/>
      <c r="C138" s="104"/>
      <c r="D138" s="104"/>
      <c r="E138" s="104"/>
      <c r="F138" s="104"/>
      <c r="G138" s="104"/>
      <c r="H138" s="104"/>
      <c r="I138" s="131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</row>
    <row r="139" ht="15.75" customHeight="1">
      <c r="A139" s="104"/>
      <c r="B139" s="104"/>
      <c r="C139" s="104"/>
      <c r="D139" s="104"/>
      <c r="E139" s="104"/>
      <c r="F139" s="104"/>
      <c r="G139" s="104"/>
      <c r="H139" s="104"/>
      <c r="I139" s="131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</row>
    <row r="140" ht="15.75" customHeight="1">
      <c r="A140" s="104"/>
      <c r="B140" s="104"/>
      <c r="C140" s="104"/>
      <c r="D140" s="104"/>
      <c r="E140" s="104"/>
      <c r="F140" s="104"/>
      <c r="G140" s="104"/>
      <c r="H140" s="104"/>
      <c r="I140" s="131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</row>
    <row r="141" ht="15.75" customHeight="1">
      <c r="A141" s="104"/>
      <c r="B141" s="104"/>
      <c r="C141" s="104"/>
      <c r="D141" s="104"/>
      <c r="E141" s="104"/>
      <c r="F141" s="104"/>
      <c r="G141" s="104"/>
      <c r="H141" s="104"/>
      <c r="I141" s="131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</row>
    <row r="142" ht="15.75" customHeight="1">
      <c r="A142" s="104"/>
      <c r="B142" s="104"/>
      <c r="C142" s="104"/>
      <c r="D142" s="104"/>
      <c r="E142" s="104"/>
      <c r="F142" s="104"/>
      <c r="G142" s="104"/>
      <c r="H142" s="104"/>
      <c r="I142" s="131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</row>
    <row r="143" ht="15.75" customHeight="1">
      <c r="A143" s="104"/>
      <c r="B143" s="104"/>
      <c r="C143" s="104"/>
      <c r="D143" s="104"/>
      <c r="E143" s="104"/>
      <c r="F143" s="104"/>
      <c r="G143" s="104"/>
      <c r="H143" s="104"/>
      <c r="I143" s="131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</row>
    <row r="144" ht="15.75" customHeight="1">
      <c r="A144" s="104"/>
      <c r="B144" s="104"/>
      <c r="C144" s="104"/>
      <c r="D144" s="104"/>
      <c r="E144" s="104"/>
      <c r="F144" s="104"/>
      <c r="G144" s="104"/>
      <c r="H144" s="104"/>
      <c r="I144" s="131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</row>
    <row r="145" ht="15.75" customHeight="1">
      <c r="A145" s="104"/>
      <c r="B145" s="104"/>
      <c r="C145" s="104"/>
      <c r="D145" s="104"/>
      <c r="E145" s="104"/>
      <c r="F145" s="104"/>
      <c r="G145" s="104"/>
      <c r="H145" s="104"/>
      <c r="I145" s="131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</row>
    <row r="146" ht="15.75" customHeight="1">
      <c r="A146" s="104"/>
      <c r="B146" s="104"/>
      <c r="C146" s="104"/>
      <c r="D146" s="104"/>
      <c r="E146" s="104"/>
      <c r="F146" s="104"/>
      <c r="G146" s="104"/>
      <c r="H146" s="104"/>
      <c r="I146" s="131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</row>
    <row r="147" ht="15.75" customHeight="1">
      <c r="A147" s="104"/>
      <c r="B147" s="104"/>
      <c r="C147" s="104"/>
      <c r="D147" s="104"/>
      <c r="E147" s="104"/>
      <c r="F147" s="104"/>
      <c r="G147" s="104"/>
      <c r="H147" s="104"/>
      <c r="I147" s="131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</row>
    <row r="148" ht="15.75" customHeight="1">
      <c r="A148" s="104"/>
      <c r="B148" s="104"/>
      <c r="C148" s="104"/>
      <c r="D148" s="104"/>
      <c r="E148" s="104"/>
      <c r="F148" s="104"/>
      <c r="G148" s="104"/>
      <c r="H148" s="104"/>
      <c r="I148" s="131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</row>
    <row r="149" ht="15.75" customHeight="1">
      <c r="A149" s="104"/>
      <c r="B149" s="104"/>
      <c r="C149" s="104"/>
      <c r="D149" s="104"/>
      <c r="E149" s="104"/>
      <c r="F149" s="104"/>
      <c r="G149" s="104"/>
      <c r="H149" s="104"/>
      <c r="I149" s="131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</row>
    <row r="150" ht="15.75" customHeight="1">
      <c r="A150" s="104"/>
      <c r="B150" s="104"/>
      <c r="C150" s="104"/>
      <c r="D150" s="104"/>
      <c r="E150" s="104"/>
      <c r="F150" s="104"/>
      <c r="G150" s="104"/>
      <c r="H150" s="104"/>
      <c r="I150" s="131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</row>
    <row r="151" ht="15.75" customHeight="1">
      <c r="A151" s="104"/>
      <c r="B151" s="104"/>
      <c r="C151" s="104"/>
      <c r="D151" s="104"/>
      <c r="E151" s="104"/>
      <c r="F151" s="104"/>
      <c r="G151" s="104"/>
      <c r="H151" s="104"/>
      <c r="I151" s="131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</row>
    <row r="152" ht="15.75" customHeight="1">
      <c r="A152" s="104"/>
      <c r="B152" s="104"/>
      <c r="C152" s="104"/>
      <c r="D152" s="104"/>
      <c r="E152" s="104"/>
      <c r="F152" s="104"/>
      <c r="G152" s="104"/>
      <c r="H152" s="104"/>
      <c r="I152" s="131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</row>
    <row r="153" ht="15.75" customHeight="1">
      <c r="A153" s="104"/>
      <c r="B153" s="104"/>
      <c r="C153" s="104"/>
      <c r="D153" s="104"/>
      <c r="E153" s="104"/>
      <c r="F153" s="104"/>
      <c r="G153" s="104"/>
      <c r="H153" s="104"/>
      <c r="I153" s="131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</row>
    <row r="154" ht="15.75" customHeight="1">
      <c r="A154" s="104"/>
      <c r="B154" s="104"/>
      <c r="C154" s="104"/>
      <c r="D154" s="104"/>
      <c r="E154" s="104"/>
      <c r="F154" s="104"/>
      <c r="G154" s="104"/>
      <c r="H154" s="104"/>
      <c r="I154" s="131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</row>
    <row r="155" ht="15.75" customHeight="1">
      <c r="A155" s="104"/>
      <c r="B155" s="104"/>
      <c r="C155" s="104"/>
      <c r="D155" s="104"/>
      <c r="E155" s="104"/>
      <c r="F155" s="104"/>
      <c r="G155" s="104"/>
      <c r="H155" s="104"/>
      <c r="I155" s="131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</row>
    <row r="156" ht="15.75" customHeight="1">
      <c r="A156" s="104"/>
      <c r="B156" s="104"/>
      <c r="C156" s="104"/>
      <c r="D156" s="104"/>
      <c r="E156" s="104"/>
      <c r="F156" s="104"/>
      <c r="G156" s="104"/>
      <c r="H156" s="104"/>
      <c r="I156" s="131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</row>
    <row r="157" ht="15.75" customHeight="1">
      <c r="A157" s="104"/>
      <c r="B157" s="104"/>
      <c r="C157" s="104"/>
      <c r="D157" s="104"/>
      <c r="E157" s="104"/>
      <c r="F157" s="104"/>
      <c r="G157" s="104"/>
      <c r="H157" s="104"/>
      <c r="I157" s="131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</row>
    <row r="158" ht="15.75" customHeight="1">
      <c r="A158" s="104"/>
      <c r="B158" s="104"/>
      <c r="C158" s="104"/>
      <c r="D158" s="104"/>
      <c r="E158" s="104"/>
      <c r="F158" s="104"/>
      <c r="G158" s="104"/>
      <c r="H158" s="104"/>
      <c r="I158" s="131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</row>
    <row r="159" ht="15.75" customHeight="1">
      <c r="A159" s="104"/>
      <c r="B159" s="104"/>
      <c r="C159" s="104"/>
      <c r="D159" s="104"/>
      <c r="E159" s="104"/>
      <c r="F159" s="104"/>
      <c r="G159" s="104"/>
      <c r="H159" s="104"/>
      <c r="I159" s="131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</row>
    <row r="160" ht="15.75" customHeight="1">
      <c r="A160" s="104"/>
      <c r="B160" s="104"/>
      <c r="C160" s="104"/>
      <c r="D160" s="104"/>
      <c r="E160" s="104"/>
      <c r="F160" s="104"/>
      <c r="G160" s="104"/>
      <c r="H160" s="104"/>
      <c r="I160" s="131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</row>
    <row r="161" ht="15.75" customHeight="1">
      <c r="A161" s="104"/>
      <c r="B161" s="104"/>
      <c r="C161" s="104"/>
      <c r="D161" s="104"/>
      <c r="E161" s="104"/>
      <c r="F161" s="104"/>
      <c r="G161" s="104"/>
      <c r="H161" s="104"/>
      <c r="I161" s="131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</row>
    <row r="162" ht="15.75" customHeight="1">
      <c r="A162" s="104"/>
      <c r="B162" s="104"/>
      <c r="C162" s="104"/>
      <c r="D162" s="104"/>
      <c r="E162" s="104"/>
      <c r="F162" s="104"/>
      <c r="G162" s="104"/>
      <c r="H162" s="104"/>
      <c r="I162" s="131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</row>
    <row r="163" ht="15.75" customHeight="1">
      <c r="A163" s="104"/>
      <c r="B163" s="104"/>
      <c r="C163" s="104"/>
      <c r="D163" s="104"/>
      <c r="E163" s="104"/>
      <c r="F163" s="104"/>
      <c r="G163" s="104"/>
      <c r="H163" s="104"/>
      <c r="I163" s="131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</row>
    <row r="164" ht="15.75" customHeight="1">
      <c r="A164" s="104"/>
      <c r="B164" s="104"/>
      <c r="C164" s="104"/>
      <c r="D164" s="104"/>
      <c r="E164" s="104"/>
      <c r="F164" s="104"/>
      <c r="G164" s="104"/>
      <c r="H164" s="104"/>
      <c r="I164" s="131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</row>
    <row r="165" ht="15.75" customHeight="1">
      <c r="A165" s="104"/>
      <c r="B165" s="104"/>
      <c r="C165" s="104"/>
      <c r="D165" s="104"/>
      <c r="E165" s="104"/>
      <c r="F165" s="104"/>
      <c r="G165" s="104"/>
      <c r="H165" s="104"/>
      <c r="I165" s="131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</row>
    <row r="166" ht="15.75" customHeight="1">
      <c r="A166" s="104"/>
      <c r="B166" s="104"/>
      <c r="C166" s="104"/>
      <c r="D166" s="104"/>
      <c r="E166" s="104"/>
      <c r="F166" s="104"/>
      <c r="G166" s="104"/>
      <c r="H166" s="104"/>
      <c r="I166" s="131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</row>
    <row r="167" ht="15.75" customHeight="1">
      <c r="A167" s="104"/>
      <c r="B167" s="104"/>
      <c r="C167" s="104"/>
      <c r="D167" s="104"/>
      <c r="E167" s="104"/>
      <c r="F167" s="104"/>
      <c r="G167" s="104"/>
      <c r="H167" s="104"/>
      <c r="I167" s="131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</row>
    <row r="168" ht="15.75" customHeight="1">
      <c r="A168" s="104"/>
      <c r="B168" s="104"/>
      <c r="C168" s="104"/>
      <c r="D168" s="104"/>
      <c r="E168" s="104"/>
      <c r="F168" s="104"/>
      <c r="G168" s="104"/>
      <c r="H168" s="104"/>
      <c r="I168" s="131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</row>
    <row r="169" ht="15.75" customHeight="1">
      <c r="A169" s="104"/>
      <c r="B169" s="104"/>
      <c r="C169" s="104"/>
      <c r="D169" s="104"/>
      <c r="E169" s="104"/>
      <c r="F169" s="104"/>
      <c r="G169" s="104"/>
      <c r="H169" s="104"/>
      <c r="I169" s="131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</row>
    <row r="170" ht="15.75" customHeight="1">
      <c r="A170" s="104"/>
      <c r="B170" s="104"/>
      <c r="C170" s="104"/>
      <c r="D170" s="104"/>
      <c r="E170" s="104"/>
      <c r="F170" s="104"/>
      <c r="G170" s="104"/>
      <c r="H170" s="104"/>
      <c r="I170" s="131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</row>
    <row r="171" ht="15.75" customHeight="1">
      <c r="A171" s="104"/>
      <c r="B171" s="104"/>
      <c r="C171" s="104"/>
      <c r="D171" s="104"/>
      <c r="E171" s="104"/>
      <c r="F171" s="104"/>
      <c r="G171" s="104"/>
      <c r="H171" s="104"/>
      <c r="I171" s="131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</row>
    <row r="172" ht="15.75" customHeight="1">
      <c r="A172" s="104"/>
      <c r="B172" s="104"/>
      <c r="C172" s="104"/>
      <c r="D172" s="104"/>
      <c r="E172" s="104"/>
      <c r="F172" s="104"/>
      <c r="G172" s="104"/>
      <c r="H172" s="104"/>
      <c r="I172" s="131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</row>
    <row r="173" ht="15.75" customHeight="1">
      <c r="A173" s="104"/>
      <c r="B173" s="104"/>
      <c r="C173" s="104"/>
      <c r="D173" s="104"/>
      <c r="E173" s="104"/>
      <c r="F173" s="104"/>
      <c r="G173" s="104"/>
      <c r="H173" s="104"/>
      <c r="I173" s="131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</row>
    <row r="174" ht="15.75" customHeight="1">
      <c r="A174" s="104"/>
      <c r="B174" s="104"/>
      <c r="C174" s="104"/>
      <c r="D174" s="104"/>
      <c r="E174" s="104"/>
      <c r="F174" s="104"/>
      <c r="G174" s="104"/>
      <c r="H174" s="104"/>
      <c r="I174" s="131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</row>
    <row r="175" ht="15.75" customHeight="1">
      <c r="A175" s="104"/>
      <c r="B175" s="104"/>
      <c r="C175" s="104"/>
      <c r="D175" s="104"/>
      <c r="E175" s="104"/>
      <c r="F175" s="104"/>
      <c r="G175" s="104"/>
      <c r="H175" s="104"/>
      <c r="I175" s="131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</row>
    <row r="176" ht="15.75" customHeight="1">
      <c r="A176" s="104"/>
      <c r="B176" s="104"/>
      <c r="C176" s="104"/>
      <c r="D176" s="104"/>
      <c r="E176" s="104"/>
      <c r="F176" s="104"/>
      <c r="G176" s="104"/>
      <c r="H176" s="104"/>
      <c r="I176" s="131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</row>
    <row r="177" ht="15.75" customHeight="1">
      <c r="A177" s="104"/>
      <c r="B177" s="104"/>
      <c r="C177" s="104"/>
      <c r="D177" s="104"/>
      <c r="E177" s="104"/>
      <c r="F177" s="104"/>
      <c r="G177" s="104"/>
      <c r="H177" s="104"/>
      <c r="I177" s="131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</row>
    <row r="178" ht="15.75" customHeight="1">
      <c r="A178" s="104"/>
      <c r="B178" s="104"/>
      <c r="C178" s="104"/>
      <c r="D178" s="104"/>
      <c r="E178" s="104"/>
      <c r="F178" s="104"/>
      <c r="G178" s="104"/>
      <c r="H178" s="104"/>
      <c r="I178" s="131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</row>
    <row r="179" ht="15.75" customHeight="1">
      <c r="A179" s="104"/>
      <c r="B179" s="104"/>
      <c r="C179" s="104"/>
      <c r="D179" s="104"/>
      <c r="E179" s="104"/>
      <c r="F179" s="104"/>
      <c r="G179" s="104"/>
      <c r="H179" s="104"/>
      <c r="I179" s="131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</row>
    <row r="180" ht="15.75" customHeight="1">
      <c r="A180" s="104"/>
      <c r="B180" s="104"/>
      <c r="C180" s="104"/>
      <c r="D180" s="104"/>
      <c r="E180" s="104"/>
      <c r="F180" s="104"/>
      <c r="G180" s="104"/>
      <c r="H180" s="104"/>
      <c r="I180" s="131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</row>
    <row r="181" ht="15.75" customHeight="1">
      <c r="A181" s="104"/>
      <c r="B181" s="104"/>
      <c r="C181" s="104"/>
      <c r="D181" s="104"/>
      <c r="E181" s="104"/>
      <c r="F181" s="104"/>
      <c r="G181" s="104"/>
      <c r="H181" s="104"/>
      <c r="I181" s="131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</row>
    <row r="182" ht="15.75" customHeight="1">
      <c r="A182" s="104"/>
      <c r="B182" s="104"/>
      <c r="C182" s="104"/>
      <c r="D182" s="104"/>
      <c r="E182" s="104"/>
      <c r="F182" s="104"/>
      <c r="G182" s="104"/>
      <c r="H182" s="104"/>
      <c r="I182" s="131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</row>
    <row r="183" ht="15.75" customHeight="1">
      <c r="A183" s="104"/>
      <c r="B183" s="104"/>
      <c r="C183" s="104"/>
      <c r="D183" s="104"/>
      <c r="E183" s="104"/>
      <c r="F183" s="104"/>
      <c r="G183" s="104"/>
      <c r="H183" s="104"/>
      <c r="I183" s="131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</row>
    <row r="184" ht="15.75" customHeight="1">
      <c r="A184" s="104"/>
      <c r="B184" s="104"/>
      <c r="C184" s="104"/>
      <c r="D184" s="104"/>
      <c r="E184" s="104"/>
      <c r="F184" s="104"/>
      <c r="G184" s="104"/>
      <c r="H184" s="104"/>
      <c r="I184" s="131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</row>
    <row r="185" ht="15.75" customHeight="1">
      <c r="A185" s="104"/>
      <c r="B185" s="104"/>
      <c r="C185" s="104"/>
      <c r="D185" s="104"/>
      <c r="E185" s="104"/>
      <c r="F185" s="104"/>
      <c r="G185" s="104"/>
      <c r="H185" s="104"/>
      <c r="I185" s="131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</row>
    <row r="186" ht="15.75" customHeight="1">
      <c r="A186" s="104"/>
      <c r="B186" s="104"/>
      <c r="C186" s="104"/>
      <c r="D186" s="104"/>
      <c r="E186" s="104"/>
      <c r="F186" s="104"/>
      <c r="G186" s="104"/>
      <c r="H186" s="104"/>
      <c r="I186" s="131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</row>
    <row r="187" ht="15.75" customHeight="1">
      <c r="A187" s="104"/>
      <c r="B187" s="104"/>
      <c r="C187" s="104"/>
      <c r="D187" s="104"/>
      <c r="E187" s="104"/>
      <c r="F187" s="104"/>
      <c r="G187" s="104"/>
      <c r="H187" s="104"/>
      <c r="I187" s="131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</row>
    <row r="188" ht="15.75" customHeight="1">
      <c r="A188" s="104"/>
      <c r="B188" s="104"/>
      <c r="C188" s="104"/>
      <c r="D188" s="104"/>
      <c r="E188" s="104"/>
      <c r="F188" s="104"/>
      <c r="G188" s="104"/>
      <c r="H188" s="104"/>
      <c r="I188" s="131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</row>
    <row r="189" ht="15.75" customHeight="1">
      <c r="A189" s="104"/>
      <c r="B189" s="104"/>
      <c r="C189" s="104"/>
      <c r="D189" s="104"/>
      <c r="E189" s="104"/>
      <c r="F189" s="104"/>
      <c r="G189" s="104"/>
      <c r="H189" s="104"/>
      <c r="I189" s="131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</row>
    <row r="190" ht="15.75" customHeight="1">
      <c r="A190" s="104"/>
      <c r="B190" s="104"/>
      <c r="C190" s="104"/>
      <c r="D190" s="104"/>
      <c r="E190" s="104"/>
      <c r="F190" s="104"/>
      <c r="G190" s="104"/>
      <c r="H190" s="104"/>
      <c r="I190" s="131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</row>
    <row r="191" ht="15.75" customHeight="1">
      <c r="A191" s="104"/>
      <c r="B191" s="104"/>
      <c r="C191" s="104"/>
      <c r="D191" s="104"/>
      <c r="E191" s="104"/>
      <c r="F191" s="104"/>
      <c r="G191" s="104"/>
      <c r="H191" s="104"/>
      <c r="I191" s="131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</row>
    <row r="192" ht="15.75" customHeight="1">
      <c r="A192" s="104"/>
      <c r="B192" s="104"/>
      <c r="C192" s="104"/>
      <c r="D192" s="104"/>
      <c r="E192" s="104"/>
      <c r="F192" s="104"/>
      <c r="G192" s="104"/>
      <c r="H192" s="104"/>
      <c r="I192" s="131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</row>
    <row r="193" ht="15.75" customHeight="1">
      <c r="A193" s="104"/>
      <c r="B193" s="104"/>
      <c r="C193" s="104"/>
      <c r="D193" s="104"/>
      <c r="E193" s="104"/>
      <c r="F193" s="104"/>
      <c r="G193" s="104"/>
      <c r="H193" s="104"/>
      <c r="I193" s="131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</row>
    <row r="194" ht="15.75" customHeight="1">
      <c r="A194" s="104"/>
      <c r="B194" s="104"/>
      <c r="C194" s="104"/>
      <c r="D194" s="104"/>
      <c r="E194" s="104"/>
      <c r="F194" s="104"/>
      <c r="G194" s="104"/>
      <c r="H194" s="104"/>
      <c r="I194" s="131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</row>
    <row r="195" ht="15.75" customHeight="1">
      <c r="A195" s="104"/>
      <c r="B195" s="104"/>
      <c r="C195" s="104"/>
      <c r="D195" s="104"/>
      <c r="E195" s="104"/>
      <c r="F195" s="104"/>
      <c r="G195" s="104"/>
      <c r="H195" s="104"/>
      <c r="I195" s="131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</row>
    <row r="196" ht="15.75" customHeight="1">
      <c r="A196" s="104"/>
      <c r="B196" s="104"/>
      <c r="C196" s="104"/>
      <c r="D196" s="104"/>
      <c r="E196" s="104"/>
      <c r="F196" s="104"/>
      <c r="G196" s="104"/>
      <c r="H196" s="104"/>
      <c r="I196" s="131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</row>
    <row r="197" ht="15.75" customHeight="1">
      <c r="A197" s="104"/>
      <c r="B197" s="104"/>
      <c r="C197" s="104"/>
      <c r="D197" s="104"/>
      <c r="E197" s="104"/>
      <c r="F197" s="104"/>
      <c r="G197" s="104"/>
      <c r="H197" s="104"/>
      <c r="I197" s="131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</row>
    <row r="198" ht="15.75" customHeight="1">
      <c r="A198" s="104"/>
      <c r="B198" s="104"/>
      <c r="C198" s="104"/>
      <c r="D198" s="104"/>
      <c r="E198" s="104"/>
      <c r="F198" s="104"/>
      <c r="G198" s="104"/>
      <c r="H198" s="104"/>
      <c r="I198" s="131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</row>
    <row r="199" ht="15.75" customHeight="1">
      <c r="A199" s="104"/>
      <c r="B199" s="104"/>
      <c r="C199" s="104"/>
      <c r="D199" s="104"/>
      <c r="E199" s="104"/>
      <c r="F199" s="104"/>
      <c r="G199" s="104"/>
      <c r="H199" s="104"/>
      <c r="I199" s="131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</row>
    <row r="200" ht="15.75" customHeight="1">
      <c r="A200" s="104"/>
      <c r="B200" s="104"/>
      <c r="C200" s="104"/>
      <c r="D200" s="104"/>
      <c r="E200" s="104"/>
      <c r="F200" s="104"/>
      <c r="G200" s="104"/>
      <c r="H200" s="104"/>
      <c r="I200" s="131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</row>
    <row r="201" ht="15.75" customHeight="1">
      <c r="A201" s="104"/>
      <c r="B201" s="104"/>
      <c r="C201" s="104"/>
      <c r="D201" s="104"/>
      <c r="E201" s="104"/>
      <c r="F201" s="104"/>
      <c r="G201" s="104"/>
      <c r="H201" s="104"/>
      <c r="I201" s="131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</row>
    <row r="202" ht="15.75" customHeight="1">
      <c r="A202" s="104"/>
      <c r="B202" s="104"/>
      <c r="C202" s="104"/>
      <c r="D202" s="104"/>
      <c r="E202" s="104"/>
      <c r="F202" s="104"/>
      <c r="G202" s="104"/>
      <c r="H202" s="104"/>
      <c r="I202" s="131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</row>
    <row r="203" ht="15.75" customHeight="1">
      <c r="A203" s="104"/>
      <c r="B203" s="104"/>
      <c r="C203" s="104"/>
      <c r="D203" s="104"/>
      <c r="E203" s="104"/>
      <c r="F203" s="104"/>
      <c r="G203" s="104"/>
      <c r="H203" s="104"/>
      <c r="I203" s="131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</row>
    <row r="204" ht="15.75" customHeight="1">
      <c r="A204" s="104"/>
      <c r="B204" s="104"/>
      <c r="C204" s="104"/>
      <c r="D204" s="104"/>
      <c r="E204" s="104"/>
      <c r="F204" s="104"/>
      <c r="G204" s="104"/>
      <c r="H204" s="104"/>
      <c r="I204" s="131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</row>
    <row r="205" ht="15.75" customHeight="1">
      <c r="A205" s="104"/>
      <c r="B205" s="104"/>
      <c r="C205" s="104"/>
      <c r="D205" s="104"/>
      <c r="E205" s="104"/>
      <c r="F205" s="104"/>
      <c r="G205" s="104"/>
      <c r="H205" s="104"/>
      <c r="I205" s="131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</row>
    <row r="206" ht="15.75" customHeight="1">
      <c r="A206" s="104"/>
      <c r="B206" s="104"/>
      <c r="C206" s="104"/>
      <c r="D206" s="104"/>
      <c r="E206" s="104"/>
      <c r="F206" s="104"/>
      <c r="G206" s="104"/>
      <c r="H206" s="104"/>
      <c r="I206" s="131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</row>
    <row r="207" ht="15.75" customHeight="1">
      <c r="A207" s="104"/>
      <c r="B207" s="104"/>
      <c r="C207" s="104"/>
      <c r="D207" s="104"/>
      <c r="E207" s="104"/>
      <c r="F207" s="104"/>
      <c r="G207" s="104"/>
      <c r="H207" s="104"/>
      <c r="I207" s="131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</row>
    <row r="208" ht="15.75" customHeight="1">
      <c r="A208" s="104"/>
      <c r="B208" s="104"/>
      <c r="C208" s="104"/>
      <c r="D208" s="104"/>
      <c r="E208" s="104"/>
      <c r="F208" s="104"/>
      <c r="G208" s="104"/>
      <c r="H208" s="104"/>
      <c r="I208" s="131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</row>
    <row r="209" ht="15.75" customHeight="1">
      <c r="A209" s="104"/>
      <c r="B209" s="104"/>
      <c r="C209" s="104"/>
      <c r="D209" s="104"/>
      <c r="E209" s="104"/>
      <c r="F209" s="104"/>
      <c r="G209" s="104"/>
      <c r="H209" s="104"/>
      <c r="I209" s="131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</row>
    <row r="210" ht="15.75" customHeight="1">
      <c r="A210" s="104"/>
      <c r="B210" s="104"/>
      <c r="C210" s="104"/>
      <c r="D210" s="104"/>
      <c r="E210" s="104"/>
      <c r="F210" s="104"/>
      <c r="G210" s="104"/>
      <c r="H210" s="104"/>
      <c r="I210" s="131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</row>
    <row r="211" ht="15.75" customHeight="1">
      <c r="A211" s="104"/>
      <c r="B211" s="104"/>
      <c r="C211" s="104"/>
      <c r="D211" s="104"/>
      <c r="E211" s="104"/>
      <c r="F211" s="104"/>
      <c r="G211" s="104"/>
      <c r="H211" s="104"/>
      <c r="I211" s="131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</row>
    <row r="212" ht="15.75" customHeight="1">
      <c r="A212" s="104"/>
      <c r="B212" s="104"/>
      <c r="C212" s="104"/>
      <c r="D212" s="104"/>
      <c r="E212" s="104"/>
      <c r="F212" s="104"/>
      <c r="G212" s="104"/>
      <c r="H212" s="104"/>
      <c r="I212" s="131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</row>
    <row r="213" ht="15.75" customHeight="1">
      <c r="A213" s="104"/>
      <c r="B213" s="104"/>
      <c r="C213" s="104"/>
      <c r="D213" s="104"/>
      <c r="E213" s="104"/>
      <c r="F213" s="104"/>
      <c r="G213" s="104"/>
      <c r="H213" s="104"/>
      <c r="I213" s="131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</row>
    <row r="214" ht="15.75" customHeight="1">
      <c r="A214" s="104"/>
      <c r="B214" s="104"/>
      <c r="C214" s="104"/>
      <c r="D214" s="104"/>
      <c r="E214" s="104"/>
      <c r="F214" s="104"/>
      <c r="G214" s="104"/>
      <c r="H214" s="104"/>
      <c r="I214" s="131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</row>
    <row r="215" ht="15.75" customHeight="1">
      <c r="A215" s="104"/>
      <c r="B215" s="104"/>
      <c r="C215" s="104"/>
      <c r="D215" s="104"/>
      <c r="E215" s="104"/>
      <c r="F215" s="104"/>
      <c r="G215" s="104"/>
      <c r="H215" s="104"/>
      <c r="I215" s="131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</row>
    <row r="216" ht="15.75" customHeight="1">
      <c r="A216" s="104"/>
      <c r="B216" s="104"/>
      <c r="C216" s="104"/>
      <c r="D216" s="104"/>
      <c r="E216" s="104"/>
      <c r="F216" s="104"/>
      <c r="G216" s="104"/>
      <c r="H216" s="104"/>
      <c r="I216" s="131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</row>
    <row r="217" ht="15.75" customHeight="1">
      <c r="A217" s="104"/>
      <c r="B217" s="104"/>
      <c r="C217" s="104"/>
      <c r="D217" s="104"/>
      <c r="E217" s="104"/>
      <c r="F217" s="104"/>
      <c r="G217" s="104"/>
      <c r="H217" s="104"/>
      <c r="I217" s="131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</row>
    <row r="218" ht="15.75" customHeight="1">
      <c r="A218" s="104"/>
      <c r="B218" s="104"/>
      <c r="C218" s="104"/>
      <c r="D218" s="104"/>
      <c r="E218" s="104"/>
      <c r="F218" s="104"/>
      <c r="G218" s="104"/>
      <c r="H218" s="104"/>
      <c r="I218" s="131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</row>
    <row r="219" ht="15.75" customHeight="1">
      <c r="A219" s="104"/>
      <c r="B219" s="104"/>
      <c r="C219" s="104"/>
      <c r="D219" s="104"/>
      <c r="E219" s="104"/>
      <c r="F219" s="104"/>
      <c r="G219" s="104"/>
      <c r="H219" s="104"/>
      <c r="I219" s="131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</row>
    <row r="220" ht="15.75" customHeight="1">
      <c r="A220" s="104"/>
      <c r="B220" s="104"/>
      <c r="C220" s="104"/>
      <c r="D220" s="104"/>
      <c r="E220" s="104"/>
      <c r="F220" s="104"/>
      <c r="G220" s="104"/>
      <c r="H220" s="104"/>
      <c r="I220" s="131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</row>
    <row r="221" ht="15.75" customHeight="1">
      <c r="A221" s="104"/>
      <c r="B221" s="104"/>
      <c r="C221" s="104"/>
      <c r="D221" s="104"/>
      <c r="E221" s="104"/>
      <c r="F221" s="104"/>
      <c r="G221" s="104"/>
      <c r="H221" s="104"/>
      <c r="I221" s="131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</row>
    <row r="222" ht="15.75" customHeight="1">
      <c r="A222" s="104"/>
      <c r="B222" s="104"/>
      <c r="C222" s="104"/>
      <c r="D222" s="104"/>
      <c r="E222" s="104"/>
      <c r="F222" s="104"/>
      <c r="G222" s="104"/>
      <c r="H222" s="104"/>
      <c r="I222" s="131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</row>
    <row r="223" ht="15.75" customHeight="1">
      <c r="A223" s="104"/>
      <c r="B223" s="104"/>
      <c r="C223" s="104"/>
      <c r="D223" s="104"/>
      <c r="E223" s="104"/>
      <c r="F223" s="104"/>
      <c r="G223" s="104"/>
      <c r="H223" s="104"/>
      <c r="I223" s="131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</row>
    <row r="224" ht="15.75" customHeight="1">
      <c r="A224" s="104"/>
      <c r="B224" s="104"/>
      <c r="C224" s="104"/>
      <c r="D224" s="104"/>
      <c r="E224" s="104"/>
      <c r="F224" s="104"/>
      <c r="G224" s="104"/>
      <c r="H224" s="104"/>
      <c r="I224" s="131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</row>
    <row r="225" ht="15.75" customHeight="1">
      <c r="A225" s="104"/>
      <c r="B225" s="104"/>
      <c r="C225" s="104"/>
      <c r="D225" s="104"/>
      <c r="E225" s="104"/>
      <c r="F225" s="104"/>
      <c r="G225" s="104"/>
      <c r="H225" s="104"/>
      <c r="I225" s="131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</row>
    <row r="226" ht="15.75" customHeight="1">
      <c r="A226" s="104"/>
      <c r="B226" s="104"/>
      <c r="C226" s="104"/>
      <c r="D226" s="104"/>
      <c r="E226" s="104"/>
      <c r="F226" s="104"/>
      <c r="G226" s="104"/>
      <c r="H226" s="104"/>
      <c r="I226" s="131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</row>
    <row r="227" ht="15.75" customHeight="1">
      <c r="A227" s="104"/>
      <c r="B227" s="104"/>
      <c r="C227" s="104"/>
      <c r="D227" s="104"/>
      <c r="E227" s="104"/>
      <c r="F227" s="104"/>
      <c r="G227" s="104"/>
      <c r="H227" s="104"/>
      <c r="I227" s="131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</row>
    <row r="228" ht="15.75" customHeight="1">
      <c r="A228" s="104"/>
      <c r="B228" s="104"/>
      <c r="C228" s="104"/>
      <c r="D228" s="104"/>
      <c r="E228" s="104"/>
      <c r="F228" s="104"/>
      <c r="G228" s="104"/>
      <c r="H228" s="104"/>
      <c r="I228" s="131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</row>
    <row r="229" ht="15.75" customHeight="1">
      <c r="A229" s="104"/>
      <c r="B229" s="104"/>
      <c r="C229" s="104"/>
      <c r="D229" s="104"/>
      <c r="E229" s="104"/>
      <c r="F229" s="104"/>
      <c r="G229" s="104"/>
      <c r="H229" s="104"/>
      <c r="I229" s="131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</row>
    <row r="230" ht="15.75" customHeight="1">
      <c r="A230" s="104"/>
      <c r="B230" s="104"/>
      <c r="C230" s="104"/>
      <c r="D230" s="104"/>
      <c r="E230" s="104"/>
      <c r="F230" s="104"/>
      <c r="G230" s="104"/>
      <c r="H230" s="104"/>
      <c r="I230" s="131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</row>
    <row r="231" ht="15.75" customHeight="1">
      <c r="A231" s="104"/>
      <c r="B231" s="104"/>
      <c r="C231" s="104"/>
      <c r="D231" s="104"/>
      <c r="E231" s="104"/>
      <c r="F231" s="104"/>
      <c r="G231" s="104"/>
      <c r="H231" s="104"/>
      <c r="I231" s="131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</row>
    <row r="232" ht="15.75" customHeight="1">
      <c r="A232" s="104"/>
      <c r="B232" s="104"/>
      <c r="C232" s="104"/>
      <c r="D232" s="104"/>
      <c r="E232" s="104"/>
      <c r="F232" s="104"/>
      <c r="G232" s="104"/>
      <c r="H232" s="104"/>
      <c r="I232" s="131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</row>
    <row r="233" ht="15.75" customHeight="1">
      <c r="A233" s="104"/>
      <c r="B233" s="104"/>
      <c r="C233" s="104"/>
      <c r="D233" s="104"/>
      <c r="E233" s="104"/>
      <c r="F233" s="104"/>
      <c r="G233" s="104"/>
      <c r="H233" s="104"/>
      <c r="I233" s="131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</row>
    <row r="234" ht="15.75" customHeight="1">
      <c r="A234" s="104"/>
      <c r="B234" s="104"/>
      <c r="C234" s="104"/>
      <c r="D234" s="104"/>
      <c r="E234" s="104"/>
      <c r="F234" s="104"/>
      <c r="G234" s="104"/>
      <c r="H234" s="104"/>
      <c r="I234" s="131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</row>
    <row r="235" ht="15.75" customHeight="1">
      <c r="A235" s="104"/>
      <c r="B235" s="104"/>
      <c r="C235" s="104"/>
      <c r="D235" s="104"/>
      <c r="E235" s="104"/>
      <c r="F235" s="104"/>
      <c r="G235" s="104"/>
      <c r="H235" s="104"/>
      <c r="I235" s="131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</row>
    <row r="236" ht="15.75" customHeight="1">
      <c r="A236" s="104"/>
      <c r="B236" s="104"/>
      <c r="C236" s="104"/>
      <c r="D236" s="104"/>
      <c r="E236" s="104"/>
      <c r="F236" s="104"/>
      <c r="G236" s="104"/>
      <c r="H236" s="104"/>
      <c r="I236" s="131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</row>
    <row r="237" ht="15.75" customHeight="1">
      <c r="A237" s="104"/>
      <c r="B237" s="104"/>
      <c r="C237" s="104"/>
      <c r="D237" s="104"/>
      <c r="E237" s="104"/>
      <c r="F237" s="104"/>
      <c r="G237" s="104"/>
      <c r="H237" s="104"/>
      <c r="I237" s="131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</row>
    <row r="238" ht="15.75" customHeight="1">
      <c r="A238" s="104"/>
      <c r="B238" s="104"/>
      <c r="C238" s="104"/>
      <c r="D238" s="104"/>
      <c r="E238" s="104"/>
      <c r="F238" s="104"/>
      <c r="G238" s="104"/>
      <c r="H238" s="104"/>
      <c r="I238" s="131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</row>
    <row r="239" ht="15.75" customHeight="1">
      <c r="A239" s="104"/>
      <c r="B239" s="104"/>
      <c r="C239" s="104"/>
      <c r="D239" s="104"/>
      <c r="E239" s="104"/>
      <c r="F239" s="104"/>
      <c r="G239" s="104"/>
      <c r="H239" s="104"/>
      <c r="I239" s="131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</row>
    <row r="240" ht="15.75" customHeight="1">
      <c r="A240" s="104"/>
      <c r="B240" s="104"/>
      <c r="C240" s="104"/>
      <c r="D240" s="104"/>
      <c r="E240" s="104"/>
      <c r="F240" s="104"/>
      <c r="G240" s="104"/>
      <c r="H240" s="104"/>
      <c r="I240" s="131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</row>
    <row r="241" ht="15.75" customHeight="1">
      <c r="A241" s="104"/>
      <c r="B241" s="104"/>
      <c r="C241" s="104"/>
      <c r="D241" s="104"/>
      <c r="E241" s="104"/>
      <c r="F241" s="104"/>
      <c r="G241" s="104"/>
      <c r="H241" s="104"/>
      <c r="I241" s="131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</row>
    <row r="242" ht="15.75" customHeight="1">
      <c r="A242" s="104"/>
      <c r="B242" s="104"/>
      <c r="C242" s="104"/>
      <c r="D242" s="104"/>
      <c r="E242" s="104"/>
      <c r="F242" s="104"/>
      <c r="G242" s="104"/>
      <c r="H242" s="104"/>
      <c r="I242" s="131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</row>
    <row r="243" ht="15.75" customHeight="1">
      <c r="A243" s="104"/>
      <c r="B243" s="104"/>
      <c r="C243" s="104"/>
      <c r="D243" s="104"/>
      <c r="E243" s="104"/>
      <c r="F243" s="104"/>
      <c r="G243" s="104"/>
      <c r="H243" s="104"/>
      <c r="I243" s="131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</row>
    <row r="244" ht="15.75" customHeight="1">
      <c r="A244" s="104"/>
      <c r="B244" s="104"/>
      <c r="C244" s="104"/>
      <c r="D244" s="104"/>
      <c r="E244" s="104"/>
      <c r="F244" s="104"/>
      <c r="G244" s="104"/>
      <c r="H244" s="104"/>
      <c r="I244" s="131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</row>
    <row r="245" ht="15.75" customHeight="1">
      <c r="A245" s="104"/>
      <c r="B245" s="104"/>
      <c r="C245" s="104"/>
      <c r="D245" s="104"/>
      <c r="E245" s="104"/>
      <c r="F245" s="104"/>
      <c r="G245" s="104"/>
      <c r="H245" s="104"/>
      <c r="I245" s="131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</row>
    <row r="246" ht="15.75" customHeight="1">
      <c r="A246" s="104"/>
      <c r="B246" s="104"/>
      <c r="C246" s="104"/>
      <c r="D246" s="104"/>
      <c r="E246" s="104"/>
      <c r="F246" s="104"/>
      <c r="G246" s="104"/>
      <c r="H246" s="104"/>
      <c r="I246" s="131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</row>
    <row r="247" ht="15.75" customHeight="1">
      <c r="A247" s="104"/>
      <c r="B247" s="104"/>
      <c r="C247" s="104"/>
      <c r="D247" s="104"/>
      <c r="E247" s="104"/>
      <c r="F247" s="104"/>
      <c r="G247" s="104"/>
      <c r="H247" s="104"/>
      <c r="I247" s="131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</row>
    <row r="248" ht="15.75" customHeight="1">
      <c r="A248" s="104"/>
      <c r="B248" s="104"/>
      <c r="C248" s="104"/>
      <c r="D248" s="104"/>
      <c r="E248" s="104"/>
      <c r="F248" s="104"/>
      <c r="G248" s="104"/>
      <c r="H248" s="104"/>
      <c r="I248" s="131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</row>
    <row r="249" ht="15.75" customHeight="1">
      <c r="A249" s="104"/>
      <c r="B249" s="104"/>
      <c r="C249" s="104"/>
      <c r="D249" s="104"/>
      <c r="E249" s="104"/>
      <c r="F249" s="104"/>
      <c r="G249" s="104"/>
      <c r="H249" s="104"/>
      <c r="I249" s="131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</row>
    <row r="250" ht="15.75" customHeight="1">
      <c r="A250" s="104"/>
      <c r="B250" s="104"/>
      <c r="C250" s="104"/>
      <c r="D250" s="104"/>
      <c r="E250" s="104"/>
      <c r="F250" s="104"/>
      <c r="G250" s="104"/>
      <c r="H250" s="104"/>
      <c r="I250" s="131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</row>
    <row r="251" ht="15.75" customHeight="1">
      <c r="A251" s="104"/>
      <c r="B251" s="104"/>
      <c r="C251" s="104"/>
      <c r="D251" s="104"/>
      <c r="E251" s="104"/>
      <c r="F251" s="104"/>
      <c r="G251" s="104"/>
      <c r="H251" s="104"/>
      <c r="I251" s="131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</row>
    <row r="252" ht="15.75" customHeight="1">
      <c r="A252" s="104"/>
      <c r="B252" s="104"/>
      <c r="C252" s="104"/>
      <c r="D252" s="104"/>
      <c r="E252" s="104"/>
      <c r="F252" s="104"/>
      <c r="G252" s="104"/>
      <c r="H252" s="104"/>
      <c r="I252" s="131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</row>
    <row r="253" ht="15.75" customHeight="1">
      <c r="A253" s="104"/>
      <c r="B253" s="104"/>
      <c r="C253" s="104"/>
      <c r="D253" s="104"/>
      <c r="E253" s="104"/>
      <c r="F253" s="104"/>
      <c r="G253" s="104"/>
      <c r="H253" s="104"/>
      <c r="I253" s="131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</row>
    <row r="254" ht="15.75" customHeight="1">
      <c r="A254" s="104"/>
      <c r="B254" s="104"/>
      <c r="C254" s="104"/>
      <c r="D254" s="104"/>
      <c r="E254" s="104"/>
      <c r="F254" s="104"/>
      <c r="G254" s="104"/>
      <c r="H254" s="104"/>
      <c r="I254" s="131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</row>
    <row r="255" ht="15.75" customHeight="1">
      <c r="A255" s="104"/>
      <c r="B255" s="104"/>
      <c r="C255" s="104"/>
      <c r="D255" s="104"/>
      <c r="E255" s="104"/>
      <c r="F255" s="104"/>
      <c r="G255" s="104"/>
      <c r="H255" s="104"/>
      <c r="I255" s="131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</row>
    <row r="256" ht="15.75" customHeight="1">
      <c r="A256" s="104"/>
      <c r="B256" s="104"/>
      <c r="C256" s="104"/>
      <c r="D256" s="104"/>
      <c r="E256" s="104"/>
      <c r="F256" s="104"/>
      <c r="G256" s="104"/>
      <c r="H256" s="104"/>
      <c r="I256" s="131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</row>
    <row r="257" ht="15.75" customHeight="1">
      <c r="A257" s="104"/>
      <c r="B257" s="104"/>
      <c r="C257" s="104"/>
      <c r="D257" s="104"/>
      <c r="E257" s="104"/>
      <c r="F257" s="104"/>
      <c r="G257" s="104"/>
      <c r="H257" s="104"/>
      <c r="I257" s="131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</row>
    <row r="258" ht="15.75" customHeight="1">
      <c r="A258" s="104"/>
      <c r="B258" s="104"/>
      <c r="C258" s="104"/>
      <c r="D258" s="104"/>
      <c r="E258" s="104"/>
      <c r="F258" s="104"/>
      <c r="G258" s="104"/>
      <c r="H258" s="104"/>
      <c r="I258" s="131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FA7891E-C37A-4F45-80DF-82AFA6190D36}" filter="1" showAutoFilter="1">
      <autoFilter ref="$A$1:$X$258">
        <filterColumn colId="5">
          <filters>
            <filter val="Checks Orientation of ROV"/>
            <filter val="Supply air to the system (follows mate rov's guidelines)"/>
            <filter val="Safety measure to keep cables protected"/>
            <filter val="Necessary for the usage of WetLink Cable Splice Kit"/>
            <filter val="Transparent housing that is durable and lightweight"/>
            <filter val="Efficient at dissipating heat, view angle of 120 degrees, high tolerance to heat, compact, similar lighting system that previous teams used but newer model"/>
            <filter val="Waterproof and Safety"/>
            <filter val="Lubricating seals and O rings"/>
            <filter val="Provided through previous funds"/>
            <filter val="To control Air flow"/>
            <filter val="Good for keeping electronics safe"/>
            <filter val="Creating units to house parts, 100% Infill (Cost is based on previous teams spending)"/>
            <filter val="To achieve neutral buoyancy"/>
            <filter val="Used for linear motion"/>
            <filter val="Utilization of Filament to create and house parts"/>
            <filter val="Building, testing, and operation of various circuits and breadboards"/>
            <filter val="For any sensor or other low power electronic"/>
            <filter val="To store everything"/>
            <filter val="Rov will need to interact with surroundings in order to score more points. Great gripping force will be needed"/>
            <filter val="detect water leaking into an improperly sealed Watertight Enclosure,&#10;preventing major dmg"/>
            <filter val="To help with cooling"/>
            <filter val="Cable management"/>
            <filter val="Monitors voltage and current"/>
            <filter val="Controls the ROV"/>
            <filter val="Sealing and waterproofing (Dimensions are an estimation)"/>
            <filter val="To stabilize camera"/>
            <filter val="Extra waterproof connectors"/>
            <filter val="Cable management and easy troubleshooting, also for organizing station"/>
            <filter val="Joining pneumatic components"/>
            <filter val="To create waterproof, high-pressure cable connections"/>
            <filter val="Monitors power output and current battery level"/>
            <filter val="For connecting pneumatic components"/>
            <filter val="Wiring the electrical components of the submersible"/>
            <filter val="Increase number of thrusters for a better control of the rov"/>
            <filter val="Sealing and waterproofing"/>
            <filter val="Multiple uses: Water sampling system, gripper, thruster replacement, possible ballast pumps"/>
            <filter val="Kits do not include batteries"/>
            <filter val="1/4&quot; Black HDPE 48&quot; x 96&quot; for a lightweight and stable robot"/>
            <filter val="For sensing obstructions and mapping the aquious environment"/>
            <filter val="Controlling and handling signals between subsystems of the submersible"/>
            <filter val="Detects the temperature and pressure, which allows for the calculation of depth&#10;and can monitor the system's health"/>
            <filter val="connects electrical cables and waterproofs them"/>
            <filter val="Switches for the control airflow"/>
            <filter val="bolt and nut sets, washers, etc (Cost is an estimation)"/>
            <filter val="Relief pressure in housing"/>
            <filter val="Sorting fasteners and other components"/>
            <filter val="To protect our components. Safety measure"/>
            <filter val="Extra Thruster incase of test failure"/>
          </filters>
        </filterColumn>
      </autoFilter>
      <extLst>
        <ext uri="GoogleSheetsCustomDataVersion1">
          <go:sheetsCustomData xmlns:go="http://customooxmlschemas.google.com/" filterViewId="1169488040"/>
        </ext>
      </extLst>
    </customSheetView>
  </customSheetViews>
  <hyperlinks>
    <hyperlink r:id="rId1" ref="A2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  <hyperlink r:id="rId12" ref="G12"/>
    <hyperlink r:id="rId13" ref="G13"/>
    <hyperlink r:id="rId14" ref="G14"/>
    <hyperlink r:id="rId15" ref="G15"/>
    <hyperlink r:id="rId16" ref="G16"/>
    <hyperlink r:id="rId17" ref="G17"/>
    <hyperlink r:id="rId18" ref="G18"/>
    <hyperlink r:id="rId19" ref="G19"/>
    <hyperlink r:id="rId20" ref="G20"/>
    <hyperlink r:id="rId21" ref="G21"/>
    <hyperlink r:id="rId22" ref="G22"/>
    <hyperlink r:id="rId23" ref="G23"/>
    <hyperlink r:id="rId24" ref="G24"/>
    <hyperlink r:id="rId25" ref="G26"/>
    <hyperlink r:id="rId26" ref="G27"/>
    <hyperlink r:id="rId27" ref="G28"/>
    <hyperlink r:id="rId28" ref="F29"/>
    <hyperlink r:id="rId29" ref="G29"/>
    <hyperlink r:id="rId30" ref="G30"/>
    <hyperlink r:id="rId31" ref="G31"/>
    <hyperlink r:id="rId32" ref="G32"/>
    <hyperlink r:id="rId33" ref="G33"/>
    <hyperlink r:id="rId34" ref="G34"/>
    <hyperlink r:id="rId35" ref="G35"/>
    <hyperlink r:id="rId36" ref="G36"/>
    <hyperlink r:id="rId37" ref="G37"/>
    <hyperlink r:id="rId38" ref="G38"/>
    <hyperlink r:id="rId39" ref="G39"/>
    <hyperlink r:id="rId40" ref="G40"/>
    <hyperlink r:id="rId41" ref="G41"/>
    <hyperlink r:id="rId42" ref="G42"/>
    <hyperlink r:id="rId43" ref="G43"/>
    <hyperlink r:id="rId44" ref="G44"/>
    <hyperlink r:id="rId45" ref="G45"/>
    <hyperlink r:id="rId46" ref="G46"/>
    <hyperlink r:id="rId47" ref="G47"/>
    <hyperlink r:id="rId48" ref="G48"/>
    <hyperlink r:id="rId49" ref="G49"/>
    <hyperlink r:id="rId50" ref="G50"/>
    <hyperlink r:id="rId51" ref="G51"/>
    <hyperlink r:id="rId52" ref="G52"/>
    <hyperlink r:id="rId53" ref="G53"/>
    <hyperlink r:id="rId54" ref="G54"/>
    <hyperlink r:id="rId55" ref="G55"/>
  </hyperlinks>
  <drawing r:id="rId5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25"/>
  </cols>
  <sheetData>
    <row r="1">
      <c r="A1" s="15"/>
      <c r="B1" s="11"/>
      <c r="C1" s="16"/>
      <c r="D1" s="12"/>
      <c r="F1" s="15"/>
      <c r="G1" s="8"/>
      <c r="H1" s="18"/>
    </row>
    <row r="2">
      <c r="A2" s="37" t="s">
        <v>141</v>
      </c>
      <c r="B2" s="38"/>
      <c r="C2" s="27"/>
      <c r="D2" s="28"/>
      <c r="E2" s="29"/>
      <c r="F2" s="30"/>
      <c r="G2" s="39"/>
      <c r="H2" s="32"/>
    </row>
    <row r="3">
      <c r="A3" s="20" t="s">
        <v>142</v>
      </c>
      <c r="B3" s="40" t="s">
        <v>143</v>
      </c>
      <c r="C3" s="41" t="s">
        <v>144</v>
      </c>
      <c r="D3" s="41" t="s">
        <v>145</v>
      </c>
      <c r="E3" s="42" t="s">
        <v>146</v>
      </c>
      <c r="F3" s="22" t="s">
        <v>147</v>
      </c>
      <c r="G3" s="43" t="s">
        <v>148</v>
      </c>
      <c r="H3" s="44" t="s">
        <v>149</v>
      </c>
    </row>
    <row r="4">
      <c r="A4" s="20" t="s">
        <v>153</v>
      </c>
      <c r="B4" s="36">
        <f t="shared" ref="B4:C4" si="1">sum(B7:B9933)</f>
        <v>0</v>
      </c>
      <c r="C4" s="46">
        <f t="shared" si="1"/>
        <v>5187.16</v>
      </c>
      <c r="D4" s="46">
        <f>SUM(D6:D999)</f>
        <v>1097.432</v>
      </c>
      <c r="E4" s="47">
        <f>SUM(E6:E9933)</f>
        <v>6584.592</v>
      </c>
      <c r="F4" s="22" t="s">
        <v>154</v>
      </c>
      <c r="G4" s="43"/>
      <c r="H4" s="18"/>
    </row>
    <row r="5">
      <c r="A5" s="48"/>
      <c r="B5" s="49"/>
      <c r="C5" s="50"/>
      <c r="D5" s="50"/>
      <c r="E5" s="51"/>
      <c r="F5" s="52"/>
      <c r="G5" s="53"/>
      <c r="H5" s="54"/>
    </row>
    <row r="6">
      <c r="A6" s="20" t="s">
        <v>560</v>
      </c>
      <c r="B6" s="61"/>
      <c r="C6" s="57">
        <v>300.0</v>
      </c>
      <c r="D6" s="57">
        <f t="shared" ref="D6:D66" si="2">C6*0.2</f>
        <v>60</v>
      </c>
      <c r="E6" s="57">
        <f t="shared" ref="E6:E66" si="3">D6+C6</f>
        <v>360</v>
      </c>
      <c r="F6" s="22" t="s">
        <v>206</v>
      </c>
      <c r="G6" s="58" t="s">
        <v>157</v>
      </c>
      <c r="H6" s="59" t="s">
        <v>561</v>
      </c>
    </row>
    <row r="7">
      <c r="A7" s="20" t="s">
        <v>562</v>
      </c>
      <c r="B7" s="61"/>
      <c r="C7" s="57">
        <v>550.0</v>
      </c>
      <c r="D7" s="57">
        <f t="shared" si="2"/>
        <v>110</v>
      </c>
      <c r="E7" s="57">
        <f t="shared" si="3"/>
        <v>660</v>
      </c>
      <c r="F7" s="22" t="s">
        <v>154</v>
      </c>
      <c r="G7" s="58" t="s">
        <v>157</v>
      </c>
      <c r="H7" s="59" t="s">
        <v>563</v>
      </c>
    </row>
    <row r="8">
      <c r="A8" s="20" t="s">
        <v>564</v>
      </c>
      <c r="B8" s="65"/>
      <c r="C8" s="57">
        <v>549.71</v>
      </c>
      <c r="D8" s="57">
        <f t="shared" si="2"/>
        <v>109.942</v>
      </c>
      <c r="E8" s="57">
        <f t="shared" si="3"/>
        <v>659.652</v>
      </c>
      <c r="F8" s="22" t="s">
        <v>216</v>
      </c>
      <c r="G8" s="58" t="s">
        <v>157</v>
      </c>
      <c r="H8" s="134" t="s">
        <v>565</v>
      </c>
    </row>
    <row r="9">
      <c r="A9" s="20" t="s">
        <v>566</v>
      </c>
      <c r="B9" s="36"/>
      <c r="C9" s="57">
        <v>18.65</v>
      </c>
      <c r="D9" s="57">
        <f t="shared" si="2"/>
        <v>3.73</v>
      </c>
      <c r="E9" s="57">
        <f t="shared" si="3"/>
        <v>22.38</v>
      </c>
      <c r="F9" s="67" t="s">
        <v>216</v>
      </c>
      <c r="G9" s="58" t="s">
        <v>157</v>
      </c>
      <c r="H9" s="63" t="s">
        <v>255</v>
      </c>
    </row>
    <row r="10">
      <c r="A10" s="20" t="s">
        <v>567</v>
      </c>
      <c r="B10" s="61"/>
      <c r="C10" s="57">
        <v>23.43</v>
      </c>
      <c r="D10" s="57">
        <f t="shared" si="2"/>
        <v>4.686</v>
      </c>
      <c r="E10" s="57">
        <f t="shared" si="3"/>
        <v>28.116</v>
      </c>
      <c r="F10" s="67" t="s">
        <v>216</v>
      </c>
      <c r="G10" s="58" t="s">
        <v>157</v>
      </c>
      <c r="H10" s="59" t="s">
        <v>568</v>
      </c>
    </row>
    <row r="11">
      <c r="A11" s="20" t="s">
        <v>569</v>
      </c>
      <c r="B11" s="61"/>
      <c r="C11" s="57">
        <v>16.32</v>
      </c>
      <c r="D11" s="57">
        <f t="shared" si="2"/>
        <v>3.264</v>
      </c>
      <c r="E11" s="57">
        <f t="shared" si="3"/>
        <v>19.584</v>
      </c>
      <c r="F11" s="67" t="s">
        <v>216</v>
      </c>
      <c r="G11" s="58" t="s">
        <v>157</v>
      </c>
      <c r="H11" s="62" t="s">
        <v>570</v>
      </c>
    </row>
    <row r="12">
      <c r="A12" s="20" t="s">
        <v>571</v>
      </c>
      <c r="B12" s="61"/>
      <c r="C12" s="57">
        <v>15.44</v>
      </c>
      <c r="D12" s="57">
        <f t="shared" si="2"/>
        <v>3.088</v>
      </c>
      <c r="E12" s="57">
        <f t="shared" si="3"/>
        <v>18.528</v>
      </c>
      <c r="F12" s="67" t="s">
        <v>216</v>
      </c>
      <c r="G12" s="58" t="s">
        <v>157</v>
      </c>
      <c r="H12" s="68" t="s">
        <v>268</v>
      </c>
    </row>
    <row r="13">
      <c r="A13" s="20" t="s">
        <v>572</v>
      </c>
      <c r="B13" s="61"/>
      <c r="C13" s="57">
        <v>10.94</v>
      </c>
      <c r="D13" s="57">
        <f t="shared" si="2"/>
        <v>2.188</v>
      </c>
      <c r="E13" s="57">
        <f t="shared" si="3"/>
        <v>13.128</v>
      </c>
      <c r="F13" s="67" t="s">
        <v>216</v>
      </c>
      <c r="G13" s="58" t="s">
        <v>157</v>
      </c>
      <c r="H13" s="62" t="s">
        <v>573</v>
      </c>
    </row>
    <row r="14">
      <c r="A14" s="20" t="s">
        <v>574</v>
      </c>
      <c r="B14" s="61"/>
      <c r="C14" s="57">
        <v>25.0</v>
      </c>
      <c r="D14" s="57">
        <f t="shared" si="2"/>
        <v>5</v>
      </c>
      <c r="E14" s="57">
        <f t="shared" si="3"/>
        <v>30</v>
      </c>
      <c r="F14" s="67" t="s">
        <v>154</v>
      </c>
      <c r="G14" s="58" t="s">
        <v>157</v>
      </c>
      <c r="H14" s="62" t="s">
        <v>575</v>
      </c>
    </row>
    <row r="15">
      <c r="A15" s="41" t="s">
        <v>327</v>
      </c>
      <c r="B15" s="56"/>
      <c r="C15" s="57">
        <v>106.32</v>
      </c>
      <c r="D15" s="57">
        <f t="shared" si="2"/>
        <v>21.264</v>
      </c>
      <c r="E15" s="57">
        <f t="shared" si="3"/>
        <v>127.584</v>
      </c>
      <c r="F15" s="67" t="s">
        <v>206</v>
      </c>
      <c r="G15" s="58" t="s">
        <v>157</v>
      </c>
      <c r="H15" s="63" t="s">
        <v>576</v>
      </c>
    </row>
    <row r="16">
      <c r="A16" s="20" t="s">
        <v>577</v>
      </c>
      <c r="B16" s="61"/>
      <c r="C16" s="57">
        <v>71.26</v>
      </c>
      <c r="D16" s="57">
        <f t="shared" si="2"/>
        <v>14.252</v>
      </c>
      <c r="E16" s="57">
        <f t="shared" si="3"/>
        <v>85.512</v>
      </c>
      <c r="F16" s="67" t="s">
        <v>216</v>
      </c>
      <c r="G16" s="58" t="s">
        <v>157</v>
      </c>
      <c r="H16" s="62" t="s">
        <v>578</v>
      </c>
    </row>
    <row r="17" ht="15.75" customHeight="1">
      <c r="A17" s="41" t="s">
        <v>579</v>
      </c>
      <c r="B17" s="57"/>
      <c r="C17" s="57">
        <v>13.98</v>
      </c>
      <c r="D17" s="57">
        <f t="shared" si="2"/>
        <v>2.796</v>
      </c>
      <c r="E17" s="57">
        <f t="shared" si="3"/>
        <v>16.776</v>
      </c>
      <c r="F17" s="22" t="s">
        <v>216</v>
      </c>
      <c r="G17" s="58" t="s">
        <v>157</v>
      </c>
      <c r="H17" s="74" t="s">
        <v>418</v>
      </c>
      <c r="K17" s="115"/>
      <c r="L17" s="115"/>
      <c r="M17" s="115"/>
      <c r="N17" s="115"/>
      <c r="O17" s="116"/>
      <c r="P17" s="115"/>
      <c r="Q17" s="135"/>
      <c r="R17" s="115"/>
      <c r="S17" s="108"/>
      <c r="T17" s="103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</row>
    <row r="18">
      <c r="A18" s="41" t="s">
        <v>580</v>
      </c>
      <c r="B18" s="46"/>
      <c r="C18" s="57">
        <v>28.82</v>
      </c>
      <c r="D18" s="57">
        <f t="shared" si="2"/>
        <v>5.764</v>
      </c>
      <c r="E18" s="57">
        <f t="shared" si="3"/>
        <v>34.584</v>
      </c>
      <c r="F18" s="22" t="s">
        <v>216</v>
      </c>
      <c r="G18" s="58" t="s">
        <v>157</v>
      </c>
      <c r="H18" s="74" t="s">
        <v>581</v>
      </c>
    </row>
    <row r="19">
      <c r="A19" s="41" t="s">
        <v>582</v>
      </c>
      <c r="B19" s="46"/>
      <c r="C19" s="57">
        <v>24.67</v>
      </c>
      <c r="D19" s="57">
        <f t="shared" si="2"/>
        <v>4.934</v>
      </c>
      <c r="E19" s="57">
        <f t="shared" si="3"/>
        <v>29.604</v>
      </c>
      <c r="F19" s="22" t="s">
        <v>216</v>
      </c>
      <c r="G19" s="58" t="s">
        <v>157</v>
      </c>
      <c r="H19" s="74" t="s">
        <v>583</v>
      </c>
    </row>
    <row r="20">
      <c r="A20" s="41" t="s">
        <v>584</v>
      </c>
      <c r="B20" s="46"/>
      <c r="C20" s="57">
        <v>6.89</v>
      </c>
      <c r="D20" s="57">
        <f t="shared" si="2"/>
        <v>1.378</v>
      </c>
      <c r="E20" s="57">
        <f t="shared" si="3"/>
        <v>8.268</v>
      </c>
      <c r="F20" s="22" t="s">
        <v>216</v>
      </c>
      <c r="G20" s="58" t="s">
        <v>157</v>
      </c>
      <c r="H20" s="74" t="s">
        <v>473</v>
      </c>
    </row>
    <row r="21">
      <c r="A21" s="41" t="s">
        <v>585</v>
      </c>
      <c r="B21" s="57"/>
      <c r="C21" s="75">
        <v>41.66</v>
      </c>
      <c r="D21" s="57">
        <f t="shared" si="2"/>
        <v>8.332</v>
      </c>
      <c r="E21" s="57">
        <f t="shared" si="3"/>
        <v>49.992</v>
      </c>
      <c r="F21" s="22" t="s">
        <v>216</v>
      </c>
      <c r="G21" s="58" t="s">
        <v>157</v>
      </c>
      <c r="H21" s="136" t="s">
        <v>586</v>
      </c>
    </row>
    <row r="22">
      <c r="A22" s="41" t="s">
        <v>587</v>
      </c>
      <c r="B22" s="57"/>
      <c r="C22" s="75">
        <v>55.78</v>
      </c>
      <c r="D22" s="57">
        <f t="shared" si="2"/>
        <v>11.156</v>
      </c>
      <c r="E22" s="57">
        <f t="shared" si="3"/>
        <v>66.936</v>
      </c>
      <c r="F22" s="22" t="s">
        <v>216</v>
      </c>
      <c r="G22" s="58" t="s">
        <v>157</v>
      </c>
      <c r="H22" s="74" t="s">
        <v>588</v>
      </c>
    </row>
    <row r="23">
      <c r="A23" s="41" t="s">
        <v>323</v>
      </c>
      <c r="B23" s="57"/>
      <c r="C23" s="75">
        <v>9.89</v>
      </c>
      <c r="D23" s="57">
        <f t="shared" si="2"/>
        <v>1.978</v>
      </c>
      <c r="E23" s="57">
        <f t="shared" si="3"/>
        <v>11.868</v>
      </c>
      <c r="F23" s="22" t="s">
        <v>216</v>
      </c>
      <c r="G23" s="58" t="s">
        <v>157</v>
      </c>
      <c r="H23" s="73" t="s">
        <v>324</v>
      </c>
    </row>
    <row r="24">
      <c r="A24" s="41" t="s">
        <v>589</v>
      </c>
      <c r="B24" s="57"/>
      <c r="C24" s="75">
        <v>500.0</v>
      </c>
      <c r="D24" s="57">
        <f t="shared" si="2"/>
        <v>100</v>
      </c>
      <c r="E24" s="57">
        <f t="shared" si="3"/>
        <v>600</v>
      </c>
      <c r="F24" s="22" t="s">
        <v>216</v>
      </c>
      <c r="G24" s="58" t="s">
        <v>157</v>
      </c>
      <c r="H24" s="72"/>
    </row>
    <row r="25">
      <c r="A25" s="41" t="s">
        <v>590</v>
      </c>
      <c r="B25" s="57"/>
      <c r="C25" s="57">
        <v>280.0</v>
      </c>
      <c r="D25" s="57">
        <f t="shared" si="2"/>
        <v>56</v>
      </c>
      <c r="E25" s="57">
        <f t="shared" si="3"/>
        <v>336</v>
      </c>
      <c r="F25" s="22" t="s">
        <v>206</v>
      </c>
      <c r="G25" s="58" t="s">
        <v>157</v>
      </c>
      <c r="H25" s="72"/>
    </row>
    <row r="26">
      <c r="A26" s="41" t="s">
        <v>591</v>
      </c>
      <c r="B26" s="57"/>
      <c r="C26" s="57">
        <v>56.74</v>
      </c>
      <c r="D26" s="57">
        <f t="shared" si="2"/>
        <v>11.348</v>
      </c>
      <c r="E26" s="57">
        <f t="shared" si="3"/>
        <v>68.088</v>
      </c>
      <c r="F26" s="22" t="s">
        <v>216</v>
      </c>
      <c r="G26" s="58" t="s">
        <v>157</v>
      </c>
      <c r="H26" s="74" t="s">
        <v>592</v>
      </c>
    </row>
    <row r="27">
      <c r="A27" s="41" t="s">
        <v>593</v>
      </c>
      <c r="B27" s="46"/>
      <c r="C27" s="75">
        <v>6.63</v>
      </c>
      <c r="D27" s="57">
        <f t="shared" si="2"/>
        <v>1.326</v>
      </c>
      <c r="E27" s="57">
        <f t="shared" si="3"/>
        <v>7.956</v>
      </c>
      <c r="F27" s="22" t="s">
        <v>216</v>
      </c>
      <c r="G27" s="58" t="s">
        <v>157</v>
      </c>
      <c r="H27" s="74" t="s">
        <v>594</v>
      </c>
    </row>
    <row r="28">
      <c r="A28" s="137" t="s">
        <v>595</v>
      </c>
      <c r="B28" s="57"/>
      <c r="C28" s="57">
        <v>45.19</v>
      </c>
      <c r="D28" s="57">
        <f t="shared" si="2"/>
        <v>9.038</v>
      </c>
      <c r="E28" s="57">
        <f t="shared" si="3"/>
        <v>54.228</v>
      </c>
      <c r="F28" s="22" t="s">
        <v>216</v>
      </c>
      <c r="G28" s="58" t="s">
        <v>157</v>
      </c>
      <c r="H28" s="73" t="s">
        <v>596</v>
      </c>
    </row>
    <row r="29">
      <c r="A29" s="41" t="s">
        <v>597</v>
      </c>
      <c r="B29" s="57"/>
      <c r="C29" s="57">
        <v>18.28</v>
      </c>
      <c r="D29" s="57">
        <f t="shared" si="2"/>
        <v>3.656</v>
      </c>
      <c r="E29" s="57">
        <f t="shared" si="3"/>
        <v>21.936</v>
      </c>
      <c r="F29" s="22" t="s">
        <v>216</v>
      </c>
      <c r="G29" s="58" t="s">
        <v>157</v>
      </c>
      <c r="H29" s="74" t="s">
        <v>598</v>
      </c>
    </row>
    <row r="30">
      <c r="A30" s="41" t="s">
        <v>599</v>
      </c>
      <c r="B30" s="57"/>
      <c r="C30" s="57">
        <v>15.14</v>
      </c>
      <c r="D30" s="57">
        <f t="shared" si="2"/>
        <v>3.028</v>
      </c>
      <c r="E30" s="57">
        <f t="shared" si="3"/>
        <v>18.168</v>
      </c>
      <c r="F30" s="22" t="s">
        <v>216</v>
      </c>
      <c r="G30" s="58" t="s">
        <v>157</v>
      </c>
      <c r="H30" s="74" t="s">
        <v>600</v>
      </c>
    </row>
    <row r="31">
      <c r="A31" s="41" t="s">
        <v>601</v>
      </c>
      <c r="B31" s="57"/>
      <c r="C31" s="75">
        <v>73.59</v>
      </c>
      <c r="D31" s="57">
        <f t="shared" si="2"/>
        <v>14.718</v>
      </c>
      <c r="E31" s="57">
        <f t="shared" si="3"/>
        <v>88.308</v>
      </c>
      <c r="F31" s="22" t="s">
        <v>216</v>
      </c>
      <c r="G31" s="58" t="s">
        <v>157</v>
      </c>
      <c r="H31" s="136" t="s">
        <v>602</v>
      </c>
    </row>
    <row r="32">
      <c r="A32" s="41" t="s">
        <v>603</v>
      </c>
      <c r="B32" s="57"/>
      <c r="C32" s="57">
        <v>29.21</v>
      </c>
      <c r="D32" s="57">
        <f t="shared" si="2"/>
        <v>5.842</v>
      </c>
      <c r="E32" s="57">
        <f t="shared" si="3"/>
        <v>35.052</v>
      </c>
      <c r="F32" s="22" t="s">
        <v>216</v>
      </c>
      <c r="G32" s="58" t="s">
        <v>157</v>
      </c>
      <c r="H32" s="73" t="s">
        <v>604</v>
      </c>
    </row>
    <row r="33">
      <c r="A33" s="41" t="s">
        <v>605</v>
      </c>
      <c r="B33" s="46"/>
      <c r="C33" s="57">
        <v>49.69</v>
      </c>
      <c r="D33" s="57">
        <f t="shared" si="2"/>
        <v>9.938</v>
      </c>
      <c r="E33" s="57">
        <f t="shared" si="3"/>
        <v>59.628</v>
      </c>
      <c r="F33" s="22" t="s">
        <v>216</v>
      </c>
      <c r="G33" s="58" t="s">
        <v>157</v>
      </c>
      <c r="H33" s="73" t="s">
        <v>606</v>
      </c>
    </row>
    <row r="34">
      <c r="A34" s="41" t="s">
        <v>155</v>
      </c>
      <c r="C34" s="57">
        <v>256.0</v>
      </c>
      <c r="D34" s="57">
        <f t="shared" si="2"/>
        <v>51.2</v>
      </c>
      <c r="E34" s="57">
        <f t="shared" si="3"/>
        <v>307.2</v>
      </c>
      <c r="F34" s="22" t="s">
        <v>156</v>
      </c>
      <c r="G34" s="58" t="s">
        <v>157</v>
      </c>
      <c r="H34" s="73" t="s">
        <v>158</v>
      </c>
    </row>
    <row r="35">
      <c r="A35" s="41" t="s">
        <v>163</v>
      </c>
      <c r="C35" s="57">
        <v>256.0</v>
      </c>
      <c r="D35" s="57">
        <f t="shared" si="2"/>
        <v>51.2</v>
      </c>
      <c r="E35" s="57">
        <f t="shared" si="3"/>
        <v>307.2</v>
      </c>
      <c r="F35" s="22" t="s">
        <v>156</v>
      </c>
      <c r="G35" s="58" t="s">
        <v>157</v>
      </c>
      <c r="H35" s="73" t="s">
        <v>164</v>
      </c>
    </row>
    <row r="36">
      <c r="A36" s="41" t="s">
        <v>607</v>
      </c>
      <c r="B36" s="46"/>
      <c r="C36" s="57">
        <v>26.59</v>
      </c>
      <c r="D36" s="57">
        <f t="shared" si="2"/>
        <v>5.318</v>
      </c>
      <c r="E36" s="57">
        <f t="shared" si="3"/>
        <v>31.908</v>
      </c>
      <c r="F36" s="22" t="s">
        <v>216</v>
      </c>
      <c r="G36" s="58" t="s">
        <v>157</v>
      </c>
      <c r="H36" s="73" t="s">
        <v>608</v>
      </c>
    </row>
    <row r="37">
      <c r="A37" s="41" t="s">
        <v>609</v>
      </c>
      <c r="B37" s="46"/>
      <c r="C37" s="57">
        <v>34.62</v>
      </c>
      <c r="D37" s="57">
        <f t="shared" si="2"/>
        <v>6.924</v>
      </c>
      <c r="E37" s="57">
        <f t="shared" si="3"/>
        <v>41.544</v>
      </c>
      <c r="F37" s="22" t="s">
        <v>216</v>
      </c>
      <c r="G37" s="58" t="s">
        <v>157</v>
      </c>
      <c r="H37" s="73" t="s">
        <v>610</v>
      </c>
    </row>
    <row r="38">
      <c r="A38" s="41" t="s">
        <v>611</v>
      </c>
      <c r="B38" s="57"/>
      <c r="C38" s="57">
        <v>8.97</v>
      </c>
      <c r="D38" s="57">
        <f t="shared" si="2"/>
        <v>1.794</v>
      </c>
      <c r="E38" s="57">
        <f t="shared" si="3"/>
        <v>10.764</v>
      </c>
      <c r="F38" s="22" t="s">
        <v>216</v>
      </c>
      <c r="G38" s="58" t="s">
        <v>157</v>
      </c>
      <c r="H38" s="73" t="s">
        <v>612</v>
      </c>
    </row>
    <row r="39">
      <c r="A39" s="41" t="s">
        <v>613</v>
      </c>
      <c r="B39" s="46"/>
      <c r="C39" s="57">
        <v>1.57</v>
      </c>
      <c r="D39" s="57">
        <f t="shared" si="2"/>
        <v>0.314</v>
      </c>
      <c r="E39" s="57">
        <f t="shared" si="3"/>
        <v>1.884</v>
      </c>
      <c r="F39" s="22" t="s">
        <v>216</v>
      </c>
      <c r="G39" s="58" t="s">
        <v>157</v>
      </c>
      <c r="H39" s="73" t="s">
        <v>614</v>
      </c>
    </row>
    <row r="40">
      <c r="A40" s="41" t="s">
        <v>615</v>
      </c>
      <c r="B40" s="57"/>
      <c r="C40" s="57">
        <v>14.52</v>
      </c>
      <c r="D40" s="57">
        <f t="shared" si="2"/>
        <v>2.904</v>
      </c>
      <c r="E40" s="57">
        <f t="shared" si="3"/>
        <v>17.424</v>
      </c>
      <c r="F40" s="22" t="s">
        <v>216</v>
      </c>
      <c r="G40" s="58" t="s">
        <v>157</v>
      </c>
      <c r="H40" s="73" t="s">
        <v>616</v>
      </c>
    </row>
    <row r="41">
      <c r="A41" s="41" t="s">
        <v>617</v>
      </c>
      <c r="B41" s="46"/>
      <c r="C41" s="57">
        <v>15.24</v>
      </c>
      <c r="D41" s="57">
        <f t="shared" si="2"/>
        <v>3.048</v>
      </c>
      <c r="E41" s="57">
        <f t="shared" si="3"/>
        <v>18.288</v>
      </c>
      <c r="F41" s="22" t="s">
        <v>216</v>
      </c>
      <c r="G41" s="58" t="s">
        <v>157</v>
      </c>
      <c r="H41" s="73" t="s">
        <v>618</v>
      </c>
    </row>
    <row r="42">
      <c r="A42" s="41" t="s">
        <v>619</v>
      </c>
      <c r="B42" s="46"/>
      <c r="C42" s="47">
        <v>9.97</v>
      </c>
      <c r="D42" s="57">
        <f t="shared" si="2"/>
        <v>1.994</v>
      </c>
      <c r="E42" s="57">
        <f t="shared" si="3"/>
        <v>11.964</v>
      </c>
      <c r="F42" s="67" t="s">
        <v>216</v>
      </c>
      <c r="G42" s="58" t="s">
        <v>157</v>
      </c>
      <c r="H42" s="73" t="s">
        <v>620</v>
      </c>
    </row>
    <row r="43">
      <c r="A43" s="41" t="s">
        <v>621</v>
      </c>
      <c r="B43" s="46"/>
      <c r="C43" s="47">
        <v>7.99</v>
      </c>
      <c r="D43" s="57">
        <f t="shared" si="2"/>
        <v>1.598</v>
      </c>
      <c r="E43" s="57">
        <f t="shared" si="3"/>
        <v>9.588</v>
      </c>
      <c r="F43" s="67" t="s">
        <v>216</v>
      </c>
      <c r="G43" s="58" t="s">
        <v>157</v>
      </c>
      <c r="H43" s="73" t="s">
        <v>622</v>
      </c>
    </row>
    <row r="44">
      <c r="A44" s="41" t="s">
        <v>623</v>
      </c>
      <c r="B44" s="46"/>
      <c r="C44" s="47">
        <v>25.96</v>
      </c>
      <c r="D44" s="57">
        <f t="shared" si="2"/>
        <v>5.192</v>
      </c>
      <c r="E44" s="57">
        <f t="shared" si="3"/>
        <v>31.152</v>
      </c>
      <c r="F44" s="67" t="s">
        <v>216</v>
      </c>
      <c r="G44" s="58" t="s">
        <v>157</v>
      </c>
      <c r="H44" s="73" t="s">
        <v>624</v>
      </c>
    </row>
    <row r="45">
      <c r="A45" s="41" t="s">
        <v>625</v>
      </c>
      <c r="B45" s="46"/>
      <c r="C45" s="47">
        <v>60.0</v>
      </c>
      <c r="D45" s="57">
        <f t="shared" si="2"/>
        <v>12</v>
      </c>
      <c r="E45" s="57">
        <f t="shared" si="3"/>
        <v>72</v>
      </c>
      <c r="F45" s="67" t="s">
        <v>169</v>
      </c>
      <c r="G45" s="58" t="s">
        <v>157</v>
      </c>
      <c r="H45" s="73" t="s">
        <v>626</v>
      </c>
    </row>
    <row r="46">
      <c r="A46" s="41" t="s">
        <v>627</v>
      </c>
      <c r="B46" s="46"/>
      <c r="C46" s="47">
        <v>325.0</v>
      </c>
      <c r="D46" s="57">
        <f t="shared" si="2"/>
        <v>65</v>
      </c>
      <c r="E46" s="57">
        <f t="shared" si="3"/>
        <v>390</v>
      </c>
      <c r="F46" s="67" t="s">
        <v>169</v>
      </c>
      <c r="G46" s="58" t="s">
        <v>157</v>
      </c>
      <c r="H46" s="73" t="s">
        <v>628</v>
      </c>
    </row>
    <row r="47">
      <c r="A47" s="41" t="s">
        <v>629</v>
      </c>
      <c r="B47" s="46"/>
      <c r="C47" s="47">
        <v>8.99</v>
      </c>
      <c r="D47" s="57">
        <f t="shared" si="2"/>
        <v>1.798</v>
      </c>
      <c r="E47" s="57">
        <f t="shared" si="3"/>
        <v>10.788</v>
      </c>
      <c r="F47" s="67" t="s">
        <v>206</v>
      </c>
      <c r="G47" s="58" t="s">
        <v>157</v>
      </c>
      <c r="H47" s="138" t="s">
        <v>630</v>
      </c>
    </row>
    <row r="48">
      <c r="A48" s="41" t="s">
        <v>631</v>
      </c>
      <c r="C48" s="47">
        <v>9.99</v>
      </c>
      <c r="D48" s="57">
        <f t="shared" si="2"/>
        <v>1.998</v>
      </c>
      <c r="E48" s="57">
        <f t="shared" si="3"/>
        <v>11.988</v>
      </c>
      <c r="F48" s="67" t="s">
        <v>206</v>
      </c>
      <c r="G48" s="58" t="s">
        <v>157</v>
      </c>
      <c r="H48" s="138" t="s">
        <v>632</v>
      </c>
    </row>
    <row r="49">
      <c r="A49" s="139" t="s">
        <v>633</v>
      </c>
      <c r="C49" s="47">
        <v>8.99</v>
      </c>
      <c r="D49" s="57">
        <f t="shared" si="2"/>
        <v>1.798</v>
      </c>
      <c r="E49" s="57">
        <f t="shared" si="3"/>
        <v>10.788</v>
      </c>
      <c r="F49" s="67" t="s">
        <v>206</v>
      </c>
      <c r="G49" s="58" t="s">
        <v>157</v>
      </c>
      <c r="H49" s="138" t="s">
        <v>634</v>
      </c>
    </row>
    <row r="50">
      <c r="A50" s="139" t="s">
        <v>635</v>
      </c>
      <c r="C50" s="47">
        <v>9.99</v>
      </c>
      <c r="D50" s="57">
        <f t="shared" si="2"/>
        <v>1.998</v>
      </c>
      <c r="E50" s="57">
        <f t="shared" si="3"/>
        <v>11.988</v>
      </c>
      <c r="F50" s="67" t="s">
        <v>206</v>
      </c>
      <c r="G50" s="58" t="s">
        <v>157</v>
      </c>
      <c r="H50" s="138" t="s">
        <v>636</v>
      </c>
    </row>
    <row r="51">
      <c r="A51" s="41" t="s">
        <v>637</v>
      </c>
      <c r="C51" s="47">
        <v>8.98</v>
      </c>
      <c r="D51" s="57">
        <f t="shared" si="2"/>
        <v>1.796</v>
      </c>
      <c r="E51" s="57">
        <f t="shared" si="3"/>
        <v>10.776</v>
      </c>
      <c r="F51" s="67" t="s">
        <v>206</v>
      </c>
      <c r="G51" s="58" t="s">
        <v>157</v>
      </c>
      <c r="H51" s="138" t="s">
        <v>638</v>
      </c>
    </row>
    <row r="52">
      <c r="A52" s="41" t="s">
        <v>225</v>
      </c>
      <c r="C52" s="57">
        <v>545.0</v>
      </c>
      <c r="D52" s="57">
        <f t="shared" si="2"/>
        <v>109</v>
      </c>
      <c r="E52" s="57">
        <f t="shared" si="3"/>
        <v>654</v>
      </c>
      <c r="F52" s="67" t="s">
        <v>206</v>
      </c>
      <c r="G52" s="58" t="s">
        <v>157</v>
      </c>
      <c r="H52" s="73" t="s">
        <v>639</v>
      </c>
    </row>
    <row r="53">
      <c r="A53" s="41" t="s">
        <v>234</v>
      </c>
      <c r="B53" s="57"/>
      <c r="C53" s="76">
        <v>380.8</v>
      </c>
      <c r="D53" s="57">
        <f t="shared" si="2"/>
        <v>76.16</v>
      </c>
      <c r="E53" s="57">
        <f t="shared" si="3"/>
        <v>456.96</v>
      </c>
      <c r="F53" s="67" t="s">
        <v>206</v>
      </c>
      <c r="G53" s="58" t="s">
        <v>157</v>
      </c>
      <c r="H53" s="74" t="s">
        <v>235</v>
      </c>
    </row>
    <row r="54">
      <c r="A54" s="41" t="s">
        <v>640</v>
      </c>
      <c r="B54" s="57"/>
      <c r="C54" s="47">
        <v>299.0</v>
      </c>
      <c r="D54" s="57">
        <f t="shared" si="2"/>
        <v>59.8</v>
      </c>
      <c r="E54" s="57">
        <f t="shared" si="3"/>
        <v>358.8</v>
      </c>
      <c r="F54" s="67" t="s">
        <v>206</v>
      </c>
      <c r="G54" s="58" t="s">
        <v>157</v>
      </c>
      <c r="H54" s="73" t="s">
        <v>641</v>
      </c>
    </row>
    <row r="55">
      <c r="A55" s="41" t="s">
        <v>642</v>
      </c>
      <c r="B55" s="57"/>
      <c r="C55" s="47">
        <v>9.99</v>
      </c>
      <c r="D55" s="57">
        <f t="shared" si="2"/>
        <v>1.998</v>
      </c>
      <c r="E55" s="57">
        <f t="shared" si="3"/>
        <v>11.988</v>
      </c>
      <c r="F55" s="22" t="s">
        <v>156</v>
      </c>
      <c r="G55" s="58" t="s">
        <v>157</v>
      </c>
      <c r="H55" s="73" t="s">
        <v>643</v>
      </c>
    </row>
    <row r="56">
      <c r="A56" s="41" t="s">
        <v>644</v>
      </c>
      <c r="C56" s="57">
        <v>14.36</v>
      </c>
      <c r="D56" s="57">
        <f t="shared" si="2"/>
        <v>2.872</v>
      </c>
      <c r="E56" s="57">
        <f t="shared" si="3"/>
        <v>17.232</v>
      </c>
      <c r="F56" s="67" t="s">
        <v>156</v>
      </c>
      <c r="G56" s="58" t="s">
        <v>157</v>
      </c>
      <c r="H56" s="73" t="s">
        <v>292</v>
      </c>
    </row>
    <row r="57">
      <c r="A57" s="41" t="s">
        <v>645</v>
      </c>
      <c r="C57" s="47">
        <v>6.29</v>
      </c>
      <c r="D57" s="57">
        <f t="shared" si="2"/>
        <v>1.258</v>
      </c>
      <c r="E57" s="57">
        <f t="shared" si="3"/>
        <v>7.548</v>
      </c>
      <c r="F57" s="67" t="s">
        <v>156</v>
      </c>
      <c r="G57" s="58" t="s">
        <v>157</v>
      </c>
      <c r="H57" s="73" t="s">
        <v>646</v>
      </c>
    </row>
    <row r="58">
      <c r="A58" s="41" t="s">
        <v>647</v>
      </c>
      <c r="C58" s="57">
        <v>1.13</v>
      </c>
      <c r="D58" s="57">
        <f t="shared" si="2"/>
        <v>0.226</v>
      </c>
      <c r="E58" s="57">
        <f t="shared" si="3"/>
        <v>1.356</v>
      </c>
      <c r="F58" s="67" t="s">
        <v>156</v>
      </c>
      <c r="G58" s="58" t="s">
        <v>157</v>
      </c>
      <c r="H58" s="73" t="s">
        <v>287</v>
      </c>
    </row>
    <row r="59">
      <c r="A59" s="6" t="s">
        <v>648</v>
      </c>
      <c r="B59" s="57"/>
      <c r="C59" s="57">
        <v>14.7</v>
      </c>
      <c r="D59" s="57">
        <f t="shared" si="2"/>
        <v>2.94</v>
      </c>
      <c r="E59" s="57">
        <f t="shared" si="3"/>
        <v>17.64</v>
      </c>
      <c r="F59" s="67" t="s">
        <v>156</v>
      </c>
      <c r="G59" s="58" t="s">
        <v>157</v>
      </c>
      <c r="H59" s="73" t="s">
        <v>649</v>
      </c>
    </row>
    <row r="60">
      <c r="A60" s="6" t="s">
        <v>650</v>
      </c>
      <c r="B60" s="57"/>
      <c r="C60" s="57">
        <v>29.21</v>
      </c>
      <c r="D60" s="57">
        <f t="shared" si="2"/>
        <v>5.842</v>
      </c>
      <c r="E60" s="57">
        <f t="shared" si="3"/>
        <v>35.052</v>
      </c>
      <c r="F60" s="22" t="s">
        <v>156</v>
      </c>
      <c r="G60" s="58" t="s">
        <v>157</v>
      </c>
      <c r="H60" s="73" t="s">
        <v>651</v>
      </c>
    </row>
    <row r="61">
      <c r="A61" s="6" t="s">
        <v>652</v>
      </c>
      <c r="B61" s="46"/>
      <c r="C61" s="57">
        <v>14.05</v>
      </c>
      <c r="D61" s="57">
        <f t="shared" si="2"/>
        <v>2.81</v>
      </c>
      <c r="E61" s="57">
        <f t="shared" si="3"/>
        <v>16.86</v>
      </c>
      <c r="F61" s="22" t="s">
        <v>156</v>
      </c>
      <c r="G61" s="58" t="s">
        <v>157</v>
      </c>
      <c r="H61" s="73" t="s">
        <v>653</v>
      </c>
    </row>
    <row r="62">
      <c r="A62" s="6" t="s">
        <v>654</v>
      </c>
      <c r="C62" s="57">
        <v>14.0</v>
      </c>
      <c r="D62" s="57">
        <f t="shared" si="2"/>
        <v>2.8</v>
      </c>
      <c r="E62" s="57">
        <f t="shared" si="3"/>
        <v>16.8</v>
      </c>
      <c r="F62" s="67" t="s">
        <v>156</v>
      </c>
      <c r="G62" s="58" t="s">
        <v>157</v>
      </c>
      <c r="H62" s="73" t="s">
        <v>655</v>
      </c>
    </row>
    <row r="63">
      <c r="A63" s="41" t="s">
        <v>656</v>
      </c>
      <c r="C63" s="75">
        <v>20.55</v>
      </c>
      <c r="D63" s="57">
        <f t="shared" si="2"/>
        <v>4.11</v>
      </c>
      <c r="E63" s="57">
        <f t="shared" si="3"/>
        <v>24.66</v>
      </c>
      <c r="F63" s="67" t="s">
        <v>156</v>
      </c>
      <c r="G63" s="58" t="s">
        <v>157</v>
      </c>
      <c r="H63" s="73" t="s">
        <v>657</v>
      </c>
    </row>
    <row r="64">
      <c r="A64" s="137" t="s">
        <v>658</v>
      </c>
      <c r="B64" s="57"/>
      <c r="C64" s="75">
        <v>37.86</v>
      </c>
      <c r="D64" s="57">
        <f t="shared" si="2"/>
        <v>7.572</v>
      </c>
      <c r="E64" s="57">
        <f t="shared" si="3"/>
        <v>45.432</v>
      </c>
      <c r="F64" s="67" t="s">
        <v>156</v>
      </c>
      <c r="G64" s="58" t="s">
        <v>157</v>
      </c>
      <c r="H64" s="73" t="s">
        <v>659</v>
      </c>
    </row>
    <row r="65">
      <c r="A65" s="41" t="s">
        <v>660</v>
      </c>
      <c r="B65" s="57"/>
      <c r="C65" s="75">
        <v>30.83</v>
      </c>
      <c r="D65" s="57">
        <f t="shared" si="2"/>
        <v>6.166</v>
      </c>
      <c r="E65" s="57">
        <f t="shared" si="3"/>
        <v>36.996</v>
      </c>
      <c r="F65" s="67" t="s">
        <v>156</v>
      </c>
      <c r="G65" s="58" t="s">
        <v>157</v>
      </c>
      <c r="H65" s="74" t="s">
        <v>661</v>
      </c>
    </row>
    <row r="66">
      <c r="A66" s="41" t="s">
        <v>662</v>
      </c>
      <c r="B66" s="57"/>
      <c r="C66" s="75">
        <v>36.79</v>
      </c>
      <c r="D66" s="57">
        <f t="shared" si="2"/>
        <v>7.358</v>
      </c>
      <c r="E66" s="57">
        <f t="shared" si="3"/>
        <v>44.148</v>
      </c>
      <c r="F66" s="67" t="s">
        <v>156</v>
      </c>
      <c r="G66" s="58" t="s">
        <v>157</v>
      </c>
      <c r="H66" s="74" t="s">
        <v>663</v>
      </c>
    </row>
  </sheetData>
  <dataValidations>
    <dataValidation type="list" allowBlank="1" showErrorMessage="1" sqref="F4 F6:F66">
      <formula1>"F&amp;P,C&amp;C,GNC,TMS,Team,EPS"</formula1>
    </dataValidation>
    <dataValidation type="list" allowBlank="1" showErrorMessage="1" sqref="G6:G66">
      <formula1>"Donated,Purchased"</formula1>
    </dataValidation>
  </dataValidations>
  <hyperlinks>
    <hyperlink r:id="rId1" ref="H6"/>
    <hyperlink r:id="rId2" location="/selectSessions/3702340/filter/session=68097340" ref="H7"/>
    <hyperlink r:id="rId3" ref="H8"/>
    <hyperlink r:id="rId4" ref="H9"/>
    <hyperlink r:id="rId5" ref="H10"/>
    <hyperlink r:id="rId6" ref="H11"/>
    <hyperlink r:id="rId7" ref="H12"/>
    <hyperlink r:id="rId8" ref="H13"/>
    <hyperlink r:id="rId9" location="/selectSessions/3702340/filter/session=68090340" ref="H14"/>
    <hyperlink r:id="rId10" ref="H15"/>
    <hyperlink r:id="rId11" ref="H16"/>
    <hyperlink r:id="rId12" ref="H17"/>
    <hyperlink r:id="rId13" ref="H18"/>
    <hyperlink r:id="rId14" ref="H19"/>
    <hyperlink r:id="rId15" ref="H20"/>
    <hyperlink r:id="rId16" ref="H21"/>
    <hyperlink r:id="rId17" ref="H22"/>
    <hyperlink r:id="rId18" ref="H23"/>
    <hyperlink r:id="rId19" ref="H26"/>
    <hyperlink r:id="rId20" ref="H27"/>
    <hyperlink r:id="rId21" ref="H28"/>
    <hyperlink r:id="rId22" ref="H29"/>
    <hyperlink r:id="rId23" ref="H30"/>
    <hyperlink r:id="rId24" ref="H31"/>
    <hyperlink r:id="rId25" ref="H32"/>
    <hyperlink r:id="rId26" ref="H33"/>
    <hyperlink r:id="rId27" ref="H34"/>
    <hyperlink r:id="rId28" ref="H35"/>
    <hyperlink r:id="rId29" ref="H36"/>
    <hyperlink r:id="rId30" ref="H37"/>
    <hyperlink r:id="rId31" ref="H38"/>
    <hyperlink r:id="rId32" ref="H39"/>
    <hyperlink r:id="rId33" ref="H40"/>
    <hyperlink r:id="rId34" ref="H41"/>
    <hyperlink r:id="rId35" ref="H42"/>
    <hyperlink r:id="rId36" ref="H43"/>
    <hyperlink r:id="rId37" ref="H44"/>
    <hyperlink r:id="rId38" ref="H45"/>
    <hyperlink r:id="rId39" ref="H46"/>
    <hyperlink r:id="rId40" ref="H47"/>
    <hyperlink r:id="rId41" ref="H48"/>
    <hyperlink r:id="rId42" ref="H49"/>
    <hyperlink r:id="rId43" ref="H50"/>
    <hyperlink r:id="rId44" ref="H51"/>
    <hyperlink r:id="rId45" ref="H52"/>
    <hyperlink r:id="rId46" ref="H53"/>
    <hyperlink r:id="rId47" ref="H54"/>
    <hyperlink r:id="rId48" ref="H55"/>
    <hyperlink r:id="rId49" ref="H56"/>
    <hyperlink r:id="rId50" ref="H57"/>
    <hyperlink r:id="rId51" ref="H58"/>
    <hyperlink r:id="rId52" ref="H59"/>
    <hyperlink r:id="rId53" ref="H60"/>
    <hyperlink r:id="rId54" ref="H61"/>
    <hyperlink r:id="rId55" ref="H62"/>
    <hyperlink r:id="rId56" ref="H63"/>
    <hyperlink r:id="rId57" ref="H64"/>
    <hyperlink r:id="rId58" ref="H65"/>
    <hyperlink r:id="rId59" ref="H66"/>
  </hyperlinks>
  <drawing r:id="rId6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25"/>
  </cols>
  <sheetData>
    <row r="1">
      <c r="A1" s="15"/>
      <c r="B1" s="11"/>
      <c r="C1" s="16"/>
      <c r="D1" s="12"/>
      <c r="F1" s="15"/>
      <c r="G1" s="8"/>
      <c r="H1" s="18"/>
      <c r="J1" s="41"/>
    </row>
    <row r="2">
      <c r="A2" s="37" t="s">
        <v>141</v>
      </c>
      <c r="B2" s="38"/>
      <c r="C2" s="27"/>
      <c r="D2" s="28"/>
      <c r="E2" s="29"/>
      <c r="F2" s="30"/>
      <c r="G2" s="39"/>
      <c r="H2" s="32"/>
      <c r="J2" s="140" t="s">
        <v>664</v>
      </c>
      <c r="K2" s="140" t="s">
        <v>665</v>
      </c>
    </row>
    <row r="3">
      <c r="A3" s="20" t="s">
        <v>142</v>
      </c>
      <c r="B3" s="40" t="s">
        <v>143</v>
      </c>
      <c r="C3" s="41" t="s">
        <v>144</v>
      </c>
      <c r="D3" s="41" t="s">
        <v>145</v>
      </c>
      <c r="E3" s="42" t="s">
        <v>146</v>
      </c>
      <c r="F3" s="22" t="s">
        <v>147</v>
      </c>
      <c r="G3" s="43" t="s">
        <v>148</v>
      </c>
      <c r="H3" s="44" t="s">
        <v>149</v>
      </c>
      <c r="J3" s="140" t="s">
        <v>216</v>
      </c>
      <c r="K3" s="141">
        <f>SUMIF(F6:F994, "EPS", E6:E994)</f>
        <v>1354.14</v>
      </c>
    </row>
    <row r="4">
      <c r="A4" s="20" t="s">
        <v>153</v>
      </c>
      <c r="B4" s="36">
        <f t="shared" ref="B4:C4" si="1">sum(B7:B9922)</f>
        <v>0</v>
      </c>
      <c r="C4" s="46">
        <f t="shared" si="1"/>
        <v>2372.43</v>
      </c>
      <c r="D4" s="46">
        <f>SUM(D6:D988)</f>
        <v>584.486</v>
      </c>
      <c r="E4" s="47">
        <f>SUM(E6:E9922)</f>
        <v>3506.916</v>
      </c>
      <c r="F4" s="22" t="s">
        <v>154</v>
      </c>
      <c r="G4" s="43"/>
      <c r="H4" s="18"/>
      <c r="J4" s="140" t="s">
        <v>206</v>
      </c>
      <c r="K4" s="141">
        <f>SUMIF(F6:F995, "TMS", E6:E995)</f>
        <v>842.712</v>
      </c>
    </row>
    <row r="5">
      <c r="A5" s="48"/>
      <c r="B5" s="49"/>
      <c r="C5" s="50"/>
      <c r="D5" s="50"/>
      <c r="E5" s="51"/>
      <c r="F5" s="52"/>
      <c r="G5" s="53"/>
      <c r="H5" s="54"/>
      <c r="J5" s="140" t="s">
        <v>154</v>
      </c>
      <c r="K5" s="141">
        <f>SUMIF(F6:F991, "Team", E6:E991)</f>
        <v>690</v>
      </c>
    </row>
    <row r="6">
      <c r="A6" s="20" t="s">
        <v>562</v>
      </c>
      <c r="B6" s="61"/>
      <c r="C6" s="57">
        <v>550.0</v>
      </c>
      <c r="D6" s="57">
        <f t="shared" ref="D6:D55" si="2">C6*0.2</f>
        <v>110</v>
      </c>
      <c r="E6" s="57">
        <f t="shared" ref="E6:E55" si="3">D6+C6</f>
        <v>660</v>
      </c>
      <c r="F6" s="22" t="s">
        <v>154</v>
      </c>
      <c r="G6" s="58" t="s">
        <v>157</v>
      </c>
      <c r="H6" s="59" t="s">
        <v>563</v>
      </c>
      <c r="J6" s="140" t="s">
        <v>169</v>
      </c>
      <c r="K6" s="141">
        <f>SUMIF(F4:F997, "GNC", E4:E997)</f>
        <v>390</v>
      </c>
    </row>
    <row r="7">
      <c r="A7" s="20" t="s">
        <v>564</v>
      </c>
      <c r="B7" s="65"/>
      <c r="C7" s="57">
        <v>380.03</v>
      </c>
      <c r="D7" s="57">
        <f t="shared" si="2"/>
        <v>76.006</v>
      </c>
      <c r="E7" s="57">
        <f t="shared" si="3"/>
        <v>456.036</v>
      </c>
      <c r="F7" s="22" t="s">
        <v>216</v>
      </c>
      <c r="G7" s="58" t="s">
        <v>157</v>
      </c>
      <c r="H7" s="73" t="s">
        <v>666</v>
      </c>
      <c r="J7" s="140" t="s">
        <v>156</v>
      </c>
      <c r="K7" s="141">
        <f>SUMIF(F7:F998, "F&amp;P", E7:E998)</f>
        <v>230.064</v>
      </c>
    </row>
    <row r="8">
      <c r="A8" s="41" t="s">
        <v>627</v>
      </c>
      <c r="B8" s="46"/>
      <c r="C8" s="47">
        <v>325.0</v>
      </c>
      <c r="D8" s="57">
        <f t="shared" si="2"/>
        <v>65</v>
      </c>
      <c r="E8" s="57">
        <f t="shared" si="3"/>
        <v>390</v>
      </c>
      <c r="F8" s="67" t="s">
        <v>169</v>
      </c>
      <c r="G8" s="58" t="s">
        <v>157</v>
      </c>
      <c r="H8" s="73" t="s">
        <v>628</v>
      </c>
      <c r="J8" s="140" t="s">
        <v>191</v>
      </c>
      <c r="K8" s="141">
        <f>SUMIF(F11:F999, "C&amp;C", E11:E999)</f>
        <v>0</v>
      </c>
    </row>
    <row r="9">
      <c r="A9" s="20" t="s">
        <v>560</v>
      </c>
      <c r="B9" s="61"/>
      <c r="C9" s="57">
        <v>250.0</v>
      </c>
      <c r="D9" s="57">
        <f t="shared" si="2"/>
        <v>50</v>
      </c>
      <c r="E9" s="57">
        <f t="shared" si="3"/>
        <v>300</v>
      </c>
      <c r="F9" s="22" t="s">
        <v>206</v>
      </c>
      <c r="G9" s="58" t="s">
        <v>157</v>
      </c>
      <c r="H9" s="59" t="s">
        <v>561</v>
      </c>
      <c r="J9" s="140" t="s">
        <v>667</v>
      </c>
      <c r="K9" s="141">
        <f>4000 - SUM(K3:K8)</f>
        <v>493.084</v>
      </c>
    </row>
    <row r="10">
      <c r="A10" s="41" t="s">
        <v>640</v>
      </c>
      <c r="B10" s="57"/>
      <c r="C10" s="47">
        <v>299.0</v>
      </c>
      <c r="D10" s="57">
        <f t="shared" si="2"/>
        <v>59.8</v>
      </c>
      <c r="E10" s="57">
        <f t="shared" si="3"/>
        <v>358.8</v>
      </c>
      <c r="F10" s="67" t="s">
        <v>206</v>
      </c>
      <c r="G10" s="58" t="s">
        <v>157</v>
      </c>
      <c r="H10" s="73" t="s">
        <v>641</v>
      </c>
    </row>
    <row r="11">
      <c r="A11" s="41" t="s">
        <v>327</v>
      </c>
      <c r="B11" s="56"/>
      <c r="C11" s="57">
        <v>106.32</v>
      </c>
      <c r="D11" s="57">
        <f t="shared" si="2"/>
        <v>21.264</v>
      </c>
      <c r="E11" s="57">
        <f t="shared" si="3"/>
        <v>127.584</v>
      </c>
      <c r="F11" s="67" t="s">
        <v>206</v>
      </c>
      <c r="G11" s="58" t="s">
        <v>157</v>
      </c>
      <c r="H11" s="63" t="s">
        <v>576</v>
      </c>
    </row>
    <row r="12">
      <c r="A12" s="41" t="s">
        <v>601</v>
      </c>
      <c r="B12" s="57"/>
      <c r="C12" s="75">
        <v>73.59</v>
      </c>
      <c r="D12" s="57">
        <f t="shared" si="2"/>
        <v>14.718</v>
      </c>
      <c r="E12" s="57">
        <f t="shared" si="3"/>
        <v>88.308</v>
      </c>
      <c r="F12" s="22" t="s">
        <v>216</v>
      </c>
      <c r="G12" s="58" t="s">
        <v>157</v>
      </c>
      <c r="H12" s="136" t="s">
        <v>602</v>
      </c>
    </row>
    <row r="13">
      <c r="A13" s="20" t="s">
        <v>577</v>
      </c>
      <c r="B13" s="61"/>
      <c r="C13" s="57">
        <v>71.26</v>
      </c>
      <c r="D13" s="57">
        <f t="shared" si="2"/>
        <v>14.252</v>
      </c>
      <c r="E13" s="57">
        <f t="shared" si="3"/>
        <v>85.512</v>
      </c>
      <c r="F13" s="67" t="s">
        <v>216</v>
      </c>
      <c r="G13" s="58" t="s">
        <v>157</v>
      </c>
      <c r="H13" s="62" t="s">
        <v>578</v>
      </c>
    </row>
    <row r="14" ht="15.75" customHeight="1">
      <c r="A14" s="41" t="s">
        <v>591</v>
      </c>
      <c r="B14" s="57"/>
      <c r="C14" s="57">
        <v>56.74</v>
      </c>
      <c r="D14" s="57">
        <f t="shared" si="2"/>
        <v>11.348</v>
      </c>
      <c r="E14" s="57">
        <f t="shared" si="3"/>
        <v>68.088</v>
      </c>
      <c r="F14" s="22" t="s">
        <v>216</v>
      </c>
      <c r="G14" s="58" t="s">
        <v>157</v>
      </c>
      <c r="H14" s="74" t="s">
        <v>592</v>
      </c>
    </row>
    <row r="15">
      <c r="A15" s="41" t="s">
        <v>587</v>
      </c>
      <c r="B15" s="57"/>
      <c r="C15" s="75">
        <v>55.78</v>
      </c>
      <c r="D15" s="57">
        <f t="shared" si="2"/>
        <v>11.156</v>
      </c>
      <c r="E15" s="57">
        <f t="shared" si="3"/>
        <v>66.936</v>
      </c>
      <c r="F15" s="22" t="s">
        <v>216</v>
      </c>
      <c r="G15" s="58" t="s">
        <v>157</v>
      </c>
      <c r="H15" s="74" t="s">
        <v>588</v>
      </c>
    </row>
    <row r="16">
      <c r="A16" s="41" t="s">
        <v>605</v>
      </c>
      <c r="B16" s="46"/>
      <c r="C16" s="57">
        <v>49.69</v>
      </c>
      <c r="D16" s="57">
        <f t="shared" si="2"/>
        <v>9.938</v>
      </c>
      <c r="E16" s="57">
        <f t="shared" si="3"/>
        <v>59.628</v>
      </c>
      <c r="F16" s="22" t="s">
        <v>216</v>
      </c>
      <c r="G16" s="58" t="s">
        <v>157</v>
      </c>
      <c r="H16" s="73" t="s">
        <v>606</v>
      </c>
    </row>
    <row r="17">
      <c r="A17" s="137" t="s">
        <v>595</v>
      </c>
      <c r="B17" s="57"/>
      <c r="C17" s="57">
        <v>45.19</v>
      </c>
      <c r="D17" s="57">
        <f t="shared" si="2"/>
        <v>9.038</v>
      </c>
      <c r="E17" s="57">
        <f t="shared" si="3"/>
        <v>54.228</v>
      </c>
      <c r="F17" s="22" t="s">
        <v>216</v>
      </c>
      <c r="G17" s="58" t="s">
        <v>157</v>
      </c>
      <c r="H17" s="73" t="s">
        <v>596</v>
      </c>
    </row>
    <row r="18">
      <c r="A18" s="41" t="s">
        <v>585</v>
      </c>
      <c r="B18" s="57"/>
      <c r="C18" s="75">
        <v>41.66</v>
      </c>
      <c r="D18" s="57">
        <f t="shared" si="2"/>
        <v>8.332</v>
      </c>
      <c r="E18" s="57">
        <f t="shared" si="3"/>
        <v>49.992</v>
      </c>
      <c r="F18" s="22" t="s">
        <v>216</v>
      </c>
      <c r="G18" s="58" t="s">
        <v>157</v>
      </c>
      <c r="H18" s="136" t="s">
        <v>586</v>
      </c>
    </row>
    <row r="19">
      <c r="A19" s="137" t="s">
        <v>658</v>
      </c>
      <c r="B19" s="57"/>
      <c r="C19" s="75">
        <v>37.86</v>
      </c>
      <c r="D19" s="57">
        <f t="shared" si="2"/>
        <v>7.572</v>
      </c>
      <c r="E19" s="57">
        <f t="shared" si="3"/>
        <v>45.432</v>
      </c>
      <c r="F19" s="67" t="s">
        <v>156</v>
      </c>
      <c r="G19" s="58" t="s">
        <v>157</v>
      </c>
      <c r="H19" s="73" t="s">
        <v>659</v>
      </c>
    </row>
    <row r="20">
      <c r="A20" s="41" t="s">
        <v>662</v>
      </c>
      <c r="B20" s="57"/>
      <c r="C20" s="75">
        <v>36.79</v>
      </c>
      <c r="D20" s="57">
        <f t="shared" si="2"/>
        <v>7.358</v>
      </c>
      <c r="E20" s="57">
        <f t="shared" si="3"/>
        <v>44.148</v>
      </c>
      <c r="F20" s="67" t="s">
        <v>156</v>
      </c>
      <c r="G20" s="58" t="s">
        <v>157</v>
      </c>
      <c r="H20" s="74" t="s">
        <v>663</v>
      </c>
    </row>
    <row r="21">
      <c r="A21" s="41" t="s">
        <v>609</v>
      </c>
      <c r="B21" s="46"/>
      <c r="C21" s="57">
        <v>34.62</v>
      </c>
      <c r="D21" s="57">
        <f t="shared" si="2"/>
        <v>6.924</v>
      </c>
      <c r="E21" s="57">
        <f t="shared" si="3"/>
        <v>41.544</v>
      </c>
      <c r="F21" s="22" t="s">
        <v>216</v>
      </c>
      <c r="G21" s="58" t="s">
        <v>157</v>
      </c>
      <c r="H21" s="73" t="s">
        <v>610</v>
      </c>
    </row>
    <row r="22">
      <c r="A22" s="41" t="s">
        <v>660</v>
      </c>
      <c r="B22" s="57"/>
      <c r="C22" s="75">
        <v>30.83</v>
      </c>
      <c r="D22" s="57">
        <f t="shared" si="2"/>
        <v>6.166</v>
      </c>
      <c r="E22" s="57">
        <f t="shared" si="3"/>
        <v>36.996</v>
      </c>
      <c r="F22" s="67" t="s">
        <v>156</v>
      </c>
      <c r="G22" s="58" t="s">
        <v>157</v>
      </c>
      <c r="H22" s="74" t="s">
        <v>661</v>
      </c>
    </row>
    <row r="23">
      <c r="A23" s="6" t="s">
        <v>650</v>
      </c>
      <c r="B23" s="57"/>
      <c r="C23" s="57">
        <v>29.21</v>
      </c>
      <c r="D23" s="57">
        <f t="shared" si="2"/>
        <v>5.842</v>
      </c>
      <c r="E23" s="57">
        <f t="shared" si="3"/>
        <v>35.052</v>
      </c>
      <c r="F23" s="22" t="s">
        <v>156</v>
      </c>
      <c r="G23" s="58" t="s">
        <v>157</v>
      </c>
      <c r="H23" s="73" t="s">
        <v>651</v>
      </c>
    </row>
    <row r="24">
      <c r="A24" s="41" t="s">
        <v>580</v>
      </c>
      <c r="B24" s="46"/>
      <c r="C24" s="57">
        <v>28.82</v>
      </c>
      <c r="D24" s="57">
        <f t="shared" si="2"/>
        <v>5.764</v>
      </c>
      <c r="E24" s="57">
        <f t="shared" si="3"/>
        <v>34.584</v>
      </c>
      <c r="F24" s="22" t="s">
        <v>216</v>
      </c>
      <c r="G24" s="58" t="s">
        <v>157</v>
      </c>
      <c r="H24" s="74" t="s">
        <v>581</v>
      </c>
    </row>
    <row r="25">
      <c r="A25" s="41" t="s">
        <v>607</v>
      </c>
      <c r="B25" s="46"/>
      <c r="C25" s="57">
        <v>26.59</v>
      </c>
      <c r="D25" s="57">
        <f t="shared" si="2"/>
        <v>5.318</v>
      </c>
      <c r="E25" s="57">
        <f t="shared" si="3"/>
        <v>31.908</v>
      </c>
      <c r="F25" s="22" t="s">
        <v>216</v>
      </c>
      <c r="G25" s="58" t="s">
        <v>157</v>
      </c>
      <c r="H25" s="73" t="s">
        <v>608</v>
      </c>
    </row>
    <row r="26">
      <c r="A26" s="41" t="s">
        <v>623</v>
      </c>
      <c r="B26" s="46"/>
      <c r="C26" s="47">
        <v>25.96</v>
      </c>
      <c r="D26" s="57">
        <f t="shared" si="2"/>
        <v>5.192</v>
      </c>
      <c r="E26" s="57">
        <f t="shared" si="3"/>
        <v>31.152</v>
      </c>
      <c r="F26" s="67" t="s">
        <v>216</v>
      </c>
      <c r="G26" s="58" t="s">
        <v>157</v>
      </c>
      <c r="H26" s="73" t="s">
        <v>624</v>
      </c>
    </row>
    <row r="27">
      <c r="A27" s="20" t="s">
        <v>574</v>
      </c>
      <c r="B27" s="61"/>
      <c r="C27" s="57">
        <v>25.0</v>
      </c>
      <c r="D27" s="57">
        <f t="shared" si="2"/>
        <v>5</v>
      </c>
      <c r="E27" s="57">
        <f t="shared" si="3"/>
        <v>30</v>
      </c>
      <c r="F27" s="67" t="s">
        <v>154</v>
      </c>
      <c r="G27" s="58" t="s">
        <v>157</v>
      </c>
      <c r="H27" s="62" t="s">
        <v>575</v>
      </c>
    </row>
    <row r="28">
      <c r="A28" s="41" t="s">
        <v>582</v>
      </c>
      <c r="B28" s="46"/>
      <c r="C28" s="57">
        <v>24.67</v>
      </c>
      <c r="D28" s="57">
        <f t="shared" si="2"/>
        <v>4.934</v>
      </c>
      <c r="E28" s="57">
        <f t="shared" si="3"/>
        <v>29.604</v>
      </c>
      <c r="F28" s="22" t="s">
        <v>216</v>
      </c>
      <c r="G28" s="58" t="s">
        <v>157</v>
      </c>
      <c r="H28" s="74" t="s">
        <v>583</v>
      </c>
    </row>
    <row r="29">
      <c r="A29" s="20" t="s">
        <v>567</v>
      </c>
      <c r="B29" s="61"/>
      <c r="C29" s="57">
        <v>23.43</v>
      </c>
      <c r="D29" s="57">
        <f t="shared" si="2"/>
        <v>4.686</v>
      </c>
      <c r="E29" s="57">
        <f t="shared" si="3"/>
        <v>28.116</v>
      </c>
      <c r="F29" s="67" t="s">
        <v>216</v>
      </c>
      <c r="G29" s="58" t="s">
        <v>157</v>
      </c>
      <c r="H29" s="59" t="s">
        <v>568</v>
      </c>
    </row>
    <row r="30">
      <c r="A30" s="41" t="s">
        <v>656</v>
      </c>
      <c r="C30" s="75">
        <v>20.55</v>
      </c>
      <c r="D30" s="57">
        <f t="shared" si="2"/>
        <v>4.11</v>
      </c>
      <c r="E30" s="57">
        <f t="shared" si="3"/>
        <v>24.66</v>
      </c>
      <c r="F30" s="67" t="s">
        <v>156</v>
      </c>
      <c r="G30" s="58" t="s">
        <v>157</v>
      </c>
      <c r="H30" s="73" t="s">
        <v>657</v>
      </c>
    </row>
    <row r="31">
      <c r="A31" s="20" t="s">
        <v>566</v>
      </c>
      <c r="B31" s="36"/>
      <c r="C31" s="57">
        <v>18.65</v>
      </c>
      <c r="D31" s="57">
        <f t="shared" si="2"/>
        <v>3.73</v>
      </c>
      <c r="E31" s="57">
        <f t="shared" si="3"/>
        <v>22.38</v>
      </c>
      <c r="F31" s="67" t="s">
        <v>216</v>
      </c>
      <c r="G31" s="58" t="s">
        <v>157</v>
      </c>
      <c r="H31" s="63" t="s">
        <v>255</v>
      </c>
    </row>
    <row r="32">
      <c r="A32" s="41" t="s">
        <v>597</v>
      </c>
      <c r="B32" s="57"/>
      <c r="C32" s="57">
        <v>18.28</v>
      </c>
      <c r="D32" s="57">
        <f t="shared" si="2"/>
        <v>3.656</v>
      </c>
      <c r="E32" s="57">
        <f t="shared" si="3"/>
        <v>21.936</v>
      </c>
      <c r="F32" s="22" t="s">
        <v>216</v>
      </c>
      <c r="G32" s="58" t="s">
        <v>157</v>
      </c>
      <c r="H32" s="74" t="s">
        <v>598</v>
      </c>
    </row>
    <row r="33">
      <c r="A33" s="20" t="s">
        <v>569</v>
      </c>
      <c r="B33" s="61"/>
      <c r="C33" s="57">
        <v>16.32</v>
      </c>
      <c r="D33" s="57">
        <f t="shared" si="2"/>
        <v>3.264</v>
      </c>
      <c r="E33" s="57">
        <f t="shared" si="3"/>
        <v>19.584</v>
      </c>
      <c r="F33" s="67" t="s">
        <v>216</v>
      </c>
      <c r="G33" s="58" t="s">
        <v>157</v>
      </c>
      <c r="H33" s="62" t="s">
        <v>570</v>
      </c>
    </row>
    <row r="34">
      <c r="A34" s="20" t="s">
        <v>571</v>
      </c>
      <c r="B34" s="61"/>
      <c r="C34" s="57">
        <v>15.44</v>
      </c>
      <c r="D34" s="57">
        <f t="shared" si="2"/>
        <v>3.088</v>
      </c>
      <c r="E34" s="57">
        <f t="shared" si="3"/>
        <v>18.528</v>
      </c>
      <c r="F34" s="67" t="s">
        <v>216</v>
      </c>
      <c r="G34" s="58" t="s">
        <v>157</v>
      </c>
      <c r="H34" s="68" t="s">
        <v>268</v>
      </c>
    </row>
    <row r="35">
      <c r="A35" s="41" t="s">
        <v>617</v>
      </c>
      <c r="B35" s="46"/>
      <c r="C35" s="57">
        <v>15.24</v>
      </c>
      <c r="D35" s="57">
        <f t="shared" si="2"/>
        <v>3.048</v>
      </c>
      <c r="E35" s="57">
        <f t="shared" si="3"/>
        <v>18.288</v>
      </c>
      <c r="F35" s="22" t="s">
        <v>216</v>
      </c>
      <c r="G35" s="58" t="s">
        <v>157</v>
      </c>
      <c r="H35" s="73" t="s">
        <v>618</v>
      </c>
    </row>
    <row r="36">
      <c r="A36" s="41" t="s">
        <v>599</v>
      </c>
      <c r="B36" s="57"/>
      <c r="C36" s="57">
        <v>15.14</v>
      </c>
      <c r="D36" s="57">
        <f t="shared" si="2"/>
        <v>3.028</v>
      </c>
      <c r="E36" s="57">
        <f t="shared" si="3"/>
        <v>18.168</v>
      </c>
      <c r="F36" s="22" t="s">
        <v>216</v>
      </c>
      <c r="G36" s="58" t="s">
        <v>157</v>
      </c>
      <c r="H36" s="74" t="s">
        <v>600</v>
      </c>
    </row>
    <row r="37">
      <c r="A37" s="6" t="s">
        <v>648</v>
      </c>
      <c r="B37" s="57"/>
      <c r="C37" s="57">
        <v>14.7</v>
      </c>
      <c r="D37" s="57">
        <f t="shared" si="2"/>
        <v>2.94</v>
      </c>
      <c r="E37" s="57">
        <f t="shared" si="3"/>
        <v>17.64</v>
      </c>
      <c r="F37" s="67" t="s">
        <v>156</v>
      </c>
      <c r="G37" s="58" t="s">
        <v>157</v>
      </c>
      <c r="H37" s="73" t="s">
        <v>649</v>
      </c>
    </row>
    <row r="38">
      <c r="A38" s="41" t="s">
        <v>615</v>
      </c>
      <c r="B38" s="57"/>
      <c r="C38" s="57">
        <v>14.52</v>
      </c>
      <c r="D38" s="57">
        <f t="shared" si="2"/>
        <v>2.904</v>
      </c>
      <c r="E38" s="57">
        <f t="shared" si="3"/>
        <v>17.424</v>
      </c>
      <c r="F38" s="22" t="s">
        <v>216</v>
      </c>
      <c r="G38" s="58" t="s">
        <v>157</v>
      </c>
      <c r="H38" s="73" t="s">
        <v>616</v>
      </c>
    </row>
    <row r="39">
      <c r="A39" s="41" t="s">
        <v>644</v>
      </c>
      <c r="C39" s="57">
        <v>14.36</v>
      </c>
      <c r="D39" s="57">
        <f t="shared" si="2"/>
        <v>2.872</v>
      </c>
      <c r="E39" s="57">
        <f t="shared" si="3"/>
        <v>17.232</v>
      </c>
      <c r="F39" s="67" t="s">
        <v>156</v>
      </c>
      <c r="G39" s="58" t="s">
        <v>157</v>
      </c>
      <c r="H39" s="73" t="s">
        <v>292</v>
      </c>
    </row>
    <row r="40">
      <c r="A40" s="41" t="s">
        <v>579</v>
      </c>
      <c r="B40" s="57"/>
      <c r="C40" s="57">
        <v>13.98</v>
      </c>
      <c r="D40" s="57">
        <f t="shared" si="2"/>
        <v>2.796</v>
      </c>
      <c r="E40" s="57">
        <f t="shared" si="3"/>
        <v>16.776</v>
      </c>
      <c r="F40" s="22" t="s">
        <v>216</v>
      </c>
      <c r="G40" s="58" t="s">
        <v>157</v>
      </c>
      <c r="H40" s="74" t="s">
        <v>418</v>
      </c>
      <c r="K40" s="115"/>
      <c r="L40" s="115"/>
      <c r="M40" s="115"/>
      <c r="N40" s="116"/>
      <c r="O40" s="115"/>
      <c r="P40" s="135"/>
      <c r="Q40" s="115"/>
      <c r="R40" s="108"/>
      <c r="S40" s="103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</row>
    <row r="41">
      <c r="A41" s="20" t="s">
        <v>572</v>
      </c>
      <c r="B41" s="61"/>
      <c r="C41" s="57">
        <v>10.94</v>
      </c>
      <c r="D41" s="57">
        <f t="shared" si="2"/>
        <v>2.188</v>
      </c>
      <c r="E41" s="57">
        <f t="shared" si="3"/>
        <v>13.128</v>
      </c>
      <c r="F41" s="67" t="s">
        <v>216</v>
      </c>
      <c r="G41" s="58" t="s">
        <v>157</v>
      </c>
      <c r="H41" s="62" t="s">
        <v>573</v>
      </c>
    </row>
    <row r="42">
      <c r="A42" s="41" t="s">
        <v>631</v>
      </c>
      <c r="C42" s="47">
        <v>9.99</v>
      </c>
      <c r="D42" s="57">
        <f t="shared" si="2"/>
        <v>1.998</v>
      </c>
      <c r="E42" s="57">
        <f t="shared" si="3"/>
        <v>11.988</v>
      </c>
      <c r="F42" s="67" t="s">
        <v>206</v>
      </c>
      <c r="G42" s="58" t="s">
        <v>157</v>
      </c>
      <c r="H42" s="138" t="s">
        <v>632</v>
      </c>
    </row>
    <row r="43">
      <c r="A43" s="139" t="s">
        <v>635</v>
      </c>
      <c r="C43" s="47">
        <v>9.99</v>
      </c>
      <c r="D43" s="57">
        <f t="shared" si="2"/>
        <v>1.998</v>
      </c>
      <c r="E43" s="57">
        <f t="shared" si="3"/>
        <v>11.988</v>
      </c>
      <c r="F43" s="67" t="s">
        <v>206</v>
      </c>
      <c r="G43" s="58" t="s">
        <v>157</v>
      </c>
      <c r="H43" s="138" t="s">
        <v>668</v>
      </c>
    </row>
    <row r="44">
      <c r="A44" s="41" t="s">
        <v>619</v>
      </c>
      <c r="B44" s="46"/>
      <c r="C44" s="47">
        <v>9.97</v>
      </c>
      <c r="D44" s="57">
        <f t="shared" si="2"/>
        <v>1.994</v>
      </c>
      <c r="E44" s="57">
        <f t="shared" si="3"/>
        <v>11.964</v>
      </c>
      <c r="F44" s="67" t="s">
        <v>216</v>
      </c>
      <c r="G44" s="58" t="s">
        <v>157</v>
      </c>
      <c r="H44" s="73" t="s">
        <v>620</v>
      </c>
    </row>
    <row r="45">
      <c r="A45" s="41" t="s">
        <v>323</v>
      </c>
      <c r="B45" s="57"/>
      <c r="C45" s="75">
        <v>9.89</v>
      </c>
      <c r="D45" s="57">
        <f t="shared" si="2"/>
        <v>1.978</v>
      </c>
      <c r="E45" s="57">
        <f t="shared" si="3"/>
        <v>11.868</v>
      </c>
      <c r="F45" s="22" t="s">
        <v>216</v>
      </c>
      <c r="G45" s="58" t="s">
        <v>157</v>
      </c>
      <c r="H45" s="73" t="s">
        <v>324</v>
      </c>
    </row>
    <row r="46">
      <c r="A46" s="41" t="s">
        <v>629</v>
      </c>
      <c r="B46" s="46"/>
      <c r="C46" s="47">
        <v>8.99</v>
      </c>
      <c r="D46" s="57">
        <f t="shared" si="2"/>
        <v>1.798</v>
      </c>
      <c r="E46" s="57">
        <f t="shared" si="3"/>
        <v>10.788</v>
      </c>
      <c r="F46" s="67" t="s">
        <v>206</v>
      </c>
      <c r="G46" s="58" t="s">
        <v>157</v>
      </c>
      <c r="H46" s="138" t="s">
        <v>669</v>
      </c>
    </row>
    <row r="47">
      <c r="A47" s="139" t="s">
        <v>633</v>
      </c>
      <c r="C47" s="47">
        <v>8.99</v>
      </c>
      <c r="D47" s="57">
        <f t="shared" si="2"/>
        <v>1.798</v>
      </c>
      <c r="E47" s="57">
        <f t="shared" si="3"/>
        <v>10.788</v>
      </c>
      <c r="F47" s="67" t="s">
        <v>206</v>
      </c>
      <c r="G47" s="58" t="s">
        <v>157</v>
      </c>
      <c r="H47" s="138" t="s">
        <v>670</v>
      </c>
    </row>
    <row r="48">
      <c r="A48" s="41" t="s">
        <v>637</v>
      </c>
      <c r="C48" s="47">
        <v>8.98</v>
      </c>
      <c r="D48" s="57">
        <f t="shared" si="2"/>
        <v>1.796</v>
      </c>
      <c r="E48" s="57">
        <f t="shared" si="3"/>
        <v>10.776</v>
      </c>
      <c r="F48" s="67" t="s">
        <v>206</v>
      </c>
      <c r="G48" s="58" t="s">
        <v>157</v>
      </c>
      <c r="H48" s="138" t="s">
        <v>671</v>
      </c>
    </row>
    <row r="49">
      <c r="A49" s="41" t="s">
        <v>611</v>
      </c>
      <c r="B49" s="57"/>
      <c r="C49" s="57">
        <v>8.97</v>
      </c>
      <c r="D49" s="57">
        <f t="shared" si="2"/>
        <v>1.794</v>
      </c>
      <c r="E49" s="57">
        <f t="shared" si="3"/>
        <v>10.764</v>
      </c>
      <c r="F49" s="22" t="s">
        <v>216</v>
      </c>
      <c r="G49" s="58" t="s">
        <v>157</v>
      </c>
      <c r="H49" s="73" t="s">
        <v>612</v>
      </c>
    </row>
    <row r="50">
      <c r="A50" s="41" t="s">
        <v>621</v>
      </c>
      <c r="B50" s="46"/>
      <c r="C50" s="47">
        <v>7.99</v>
      </c>
      <c r="D50" s="57">
        <f t="shared" si="2"/>
        <v>1.598</v>
      </c>
      <c r="E50" s="57">
        <f t="shared" si="3"/>
        <v>9.588</v>
      </c>
      <c r="F50" s="67" t="s">
        <v>216</v>
      </c>
      <c r="G50" s="58" t="s">
        <v>157</v>
      </c>
      <c r="H50" s="73" t="s">
        <v>622</v>
      </c>
    </row>
    <row r="51">
      <c r="A51" s="41" t="s">
        <v>584</v>
      </c>
      <c r="B51" s="46"/>
      <c r="C51" s="57">
        <v>6.89</v>
      </c>
      <c r="D51" s="57">
        <f t="shared" si="2"/>
        <v>1.378</v>
      </c>
      <c r="E51" s="57">
        <f t="shared" si="3"/>
        <v>8.268</v>
      </c>
      <c r="F51" s="22" t="s">
        <v>216</v>
      </c>
      <c r="G51" s="58" t="s">
        <v>157</v>
      </c>
      <c r="H51" s="74" t="s">
        <v>473</v>
      </c>
    </row>
    <row r="52">
      <c r="A52" s="41" t="s">
        <v>593</v>
      </c>
      <c r="B52" s="46"/>
      <c r="C52" s="75">
        <v>6.63</v>
      </c>
      <c r="D52" s="57">
        <f t="shared" si="2"/>
        <v>1.326</v>
      </c>
      <c r="E52" s="57">
        <f t="shared" si="3"/>
        <v>7.956</v>
      </c>
      <c r="F52" s="22" t="s">
        <v>216</v>
      </c>
      <c r="G52" s="58" t="s">
        <v>157</v>
      </c>
      <c r="H52" s="74" t="s">
        <v>594</v>
      </c>
    </row>
    <row r="53">
      <c r="A53" s="41" t="s">
        <v>645</v>
      </c>
      <c r="C53" s="47">
        <v>6.29</v>
      </c>
      <c r="D53" s="57">
        <f t="shared" si="2"/>
        <v>1.258</v>
      </c>
      <c r="E53" s="57">
        <f t="shared" si="3"/>
        <v>7.548</v>
      </c>
      <c r="F53" s="67" t="s">
        <v>156</v>
      </c>
      <c r="G53" s="58" t="s">
        <v>157</v>
      </c>
      <c r="H53" s="73" t="s">
        <v>646</v>
      </c>
    </row>
    <row r="54">
      <c r="A54" s="41" t="s">
        <v>613</v>
      </c>
      <c r="B54" s="46"/>
      <c r="C54" s="57">
        <v>1.57</v>
      </c>
      <c r="D54" s="57">
        <f t="shared" si="2"/>
        <v>0.314</v>
      </c>
      <c r="E54" s="57">
        <f t="shared" si="3"/>
        <v>1.884</v>
      </c>
      <c r="F54" s="22" t="s">
        <v>216</v>
      </c>
      <c r="G54" s="58" t="s">
        <v>157</v>
      </c>
      <c r="H54" s="73" t="s">
        <v>614</v>
      </c>
    </row>
    <row r="55">
      <c r="A55" s="41" t="s">
        <v>647</v>
      </c>
      <c r="C55" s="57">
        <v>1.13</v>
      </c>
      <c r="D55" s="57">
        <f t="shared" si="2"/>
        <v>0.226</v>
      </c>
      <c r="E55" s="57">
        <f t="shared" si="3"/>
        <v>1.356</v>
      </c>
      <c r="F55" s="67" t="s">
        <v>156</v>
      </c>
      <c r="G55" s="58" t="s">
        <v>157</v>
      </c>
      <c r="H55" s="73" t="s">
        <v>287</v>
      </c>
    </row>
  </sheetData>
  <dataValidations>
    <dataValidation type="list" allowBlank="1" showErrorMessage="1" sqref="F4 F6:F55">
      <formula1>"F&amp;P,C&amp;C,GNC,TMS,Team,EPS"</formula1>
    </dataValidation>
    <dataValidation type="list" allowBlank="1" showErrorMessage="1" sqref="G6:G55">
      <formula1>"Donated,Purchased"</formula1>
    </dataValidation>
  </dataValidations>
  <hyperlinks>
    <hyperlink r:id="rId2" location="/selectSessions/3702340/filter/session=68097340" ref="H6"/>
    <hyperlink r:id="rId3" ref="H7"/>
    <hyperlink r:id="rId4" ref="H8"/>
    <hyperlink r:id="rId5" ref="H9"/>
    <hyperlink r:id="rId6" ref="H10"/>
    <hyperlink r:id="rId7" ref="H11"/>
    <hyperlink r:id="rId8" ref="H12"/>
    <hyperlink r:id="rId9" ref="H13"/>
    <hyperlink r:id="rId10" ref="H14"/>
    <hyperlink r:id="rId11" ref="H15"/>
    <hyperlink r:id="rId12" ref="H16"/>
    <hyperlink r:id="rId13" ref="H17"/>
    <hyperlink r:id="rId14" ref="H18"/>
    <hyperlink r:id="rId15" ref="H19"/>
    <hyperlink r:id="rId16" ref="H20"/>
    <hyperlink r:id="rId17" ref="H21"/>
    <hyperlink r:id="rId18" ref="H22"/>
    <hyperlink r:id="rId19" ref="H23"/>
    <hyperlink r:id="rId20" ref="H24"/>
    <hyperlink r:id="rId21" ref="H25"/>
    <hyperlink r:id="rId22" ref="H26"/>
    <hyperlink r:id="rId23" location="/selectSessions/3702340/filter/session=68090340" ref="H27"/>
    <hyperlink r:id="rId24" ref="H28"/>
    <hyperlink r:id="rId25" ref="H29"/>
    <hyperlink r:id="rId26" ref="H30"/>
    <hyperlink r:id="rId27" ref="H31"/>
    <hyperlink r:id="rId28" ref="H32"/>
    <hyperlink r:id="rId29" ref="H33"/>
    <hyperlink r:id="rId30" ref="H34"/>
    <hyperlink r:id="rId31" ref="H35"/>
    <hyperlink r:id="rId32" ref="H36"/>
    <hyperlink r:id="rId33" ref="H37"/>
    <hyperlink r:id="rId34" ref="H38"/>
    <hyperlink r:id="rId35" ref="H39"/>
    <hyperlink r:id="rId36" ref="H40"/>
    <hyperlink r:id="rId37" ref="H41"/>
    <hyperlink r:id="rId38" ref="H42"/>
    <hyperlink r:id="rId39" ref="H43"/>
    <hyperlink r:id="rId40" ref="H44"/>
    <hyperlink r:id="rId41" ref="H45"/>
    <hyperlink r:id="rId42" ref="H46"/>
    <hyperlink r:id="rId43" ref="H47"/>
    <hyperlink r:id="rId44" ref="H48"/>
    <hyperlink r:id="rId45" ref="H49"/>
    <hyperlink r:id="rId46" ref="H50"/>
    <hyperlink r:id="rId47" ref="H51"/>
    <hyperlink r:id="rId48" ref="H52"/>
    <hyperlink r:id="rId49" ref="H53"/>
    <hyperlink r:id="rId50" ref="H54"/>
    <hyperlink r:id="rId51" ref="H55"/>
  </hyperlinks>
  <drawing r:id="rId52"/>
  <legacyDrawing r:id="rId53"/>
</worksheet>
</file>