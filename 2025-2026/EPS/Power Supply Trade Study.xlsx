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5"/>
  </sheets>
  <definedNames/>
  <calcPr/>
</workbook>
</file>

<file path=xl/sharedStrings.xml><?xml version="1.0" encoding="utf-8"?>
<sst xmlns="http://schemas.openxmlformats.org/spreadsheetml/2006/main" count="44" uniqueCount="29">
  <si>
    <t>Power Supply</t>
  </si>
  <si>
    <t>Criteria</t>
  </si>
  <si>
    <t>Explanation</t>
  </si>
  <si>
    <t>Grade</t>
  </si>
  <si>
    <t>Weight</t>
  </si>
  <si>
    <t>12 VDC</t>
  </si>
  <si>
    <t>48 VDC</t>
  </si>
  <si>
    <t>Tether Cable Size &amp; Weight</t>
  </si>
  <si>
    <t>Smaller gauge cables can be used with higher voltage, improving maneuverability and reducing drag.</t>
  </si>
  <si>
    <t>3 = High
2 = Medium
1 = Low
0 = Fail</t>
  </si>
  <si>
    <t>3</t>
  </si>
  <si>
    <t>Power Transmission Efficiency</t>
  </si>
  <si>
    <t>Lower current at higher voltage reduces I²R losses in the tether cable. This improves efficiency and reduces power loss.</t>
  </si>
  <si>
    <t>Thruster Power Delivery</t>
  </si>
  <si>
    <t>Voltage vs. required thruster input voltage &amp; startup current - especially important if thrusters draw pulsed or high currents</t>
  </si>
  <si>
    <t>Voltage Regulation / Stability</t>
  </si>
  <si>
    <t>Need for DC-DC converters and complexity of power distribution at the ROV end.</t>
  </si>
  <si>
    <t>2</t>
  </si>
  <si>
    <t>Safety / Standards Compliance</t>
  </si>
  <si>
    <t>Lower voltages are safer for human handling and reduce underwater electrical hazard risk.</t>
  </si>
  <si>
    <t>Component Availability / Cost</t>
  </si>
  <si>
    <t>Availability of compatible power electronics and end-use subsystems (e.g., sensors, controllers) and their cost.</t>
  </si>
  <si>
    <t>Heat Dissipation (Converters)</t>
  </si>
  <si>
    <t>High current results in higher local power dissipation. Lower heat is easier to manage in a sealed or underwater enclosure.</t>
  </si>
  <si>
    <t>Electromagnetic Interference (EMI)</t>
  </si>
  <si>
    <t>Higher voltages may increase EMI, affecting sensors or communication systems.</t>
  </si>
  <si>
    <t>Future Scalability / Growth</t>
  </si>
  <si>
    <t>Ability to support future upgrades with higher power demand without major redesign.</t>
  </si>
  <si>
    <t>0 = 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</si>
</sst>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8.0"/>
      <color theme="1"/>
      <name val="Arial"/>
    </font>
    <font/>
    <font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8.0"/>
      <color rgb="FFFF0000"/>
      <name val="Arial"/>
    </font>
    <font>
      <color theme="1"/>
      <name val="Roboto"/>
    </font>
    <font>
      <color theme="1"/>
      <name val="Arial"/>
      <scheme val="minor"/>
    </font>
    <font>
      <b/>
      <sz val="8.0"/>
      <color theme="1"/>
      <name val="Arial"/>
    </font>
    <font>
      <b/>
      <color theme="1"/>
      <name val="Arial"/>
    </font>
    <font>
      <b/>
      <color rgb="FFFF0000"/>
      <name val="Arial"/>
    </font>
    <font>
      <sz val="13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34A853"/>
        <bgColor rgb="FF34A853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readingOrder="0" shrinkToFit="0" vertical="center" wrapText="1"/>
    </xf>
    <xf borderId="5" fillId="3" fontId="4" numFmtId="0" xfId="0" applyAlignment="1" applyBorder="1" applyFont="1">
      <alignment horizontal="center" readingOrder="0" shrinkToFit="0" vertical="center" wrapText="1"/>
    </xf>
    <xf borderId="5" fillId="4" fontId="5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wrapText="1"/>
    </xf>
    <xf borderId="4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5" fillId="5" fontId="7" numFmtId="0" xfId="0" applyAlignment="1" applyBorder="1" applyFill="1" applyFont="1">
      <alignment readingOrder="0" shrinkToFit="0" vertical="center" wrapText="1"/>
    </xf>
    <xf borderId="5" fillId="0" fontId="3" numFmtId="9" xfId="0" applyAlignment="1" applyBorder="1" applyFont="1" applyNumberFormat="1">
      <alignment horizontal="center" readingOrder="0" shrinkToFit="0" vertical="center" wrapText="1"/>
    </xf>
    <xf borderId="5" fillId="0" fontId="3" numFmtId="49" xfId="0" applyAlignment="1" applyBorder="1" applyFont="1" applyNumberFormat="1">
      <alignment horizontal="center" readingOrder="0" shrinkToFit="0" vertical="center" wrapText="1"/>
    </xf>
    <xf borderId="6" fillId="0" fontId="8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shrinkToFit="0" vertical="center" wrapText="1"/>
    </xf>
    <xf borderId="7" fillId="0" fontId="9" numFmtId="0" xfId="0" applyAlignment="1" applyBorder="1" applyFont="1">
      <alignment horizontal="center" readingOrder="0" shrinkToFit="0" vertical="center" wrapText="1"/>
    </xf>
    <xf borderId="6" fillId="0" fontId="10" numFmtId="9" xfId="0" applyAlignment="1" applyBorder="1" applyFont="1" applyNumberFormat="1">
      <alignment horizontal="center" shrinkToFit="0" vertical="center" wrapText="1"/>
    </xf>
    <xf borderId="5" fillId="6" fontId="3" numFmtId="10" xfId="0" applyAlignment="1" applyBorder="1" applyFill="1" applyFont="1" applyNumberFormat="1">
      <alignment horizontal="center" shrinkToFit="0" vertical="center" wrapText="1"/>
    </xf>
    <xf borderId="5" fillId="7" fontId="3" numFmtId="10" xfId="0" applyAlignment="1" applyBorder="1" applyFill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wrapText="1"/>
    </xf>
    <xf borderId="0" fillId="0" fontId="1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5"/>
    <col customWidth="1" min="2" max="2" width="44.38"/>
    <col customWidth="1" min="3" max="3" width="15.63"/>
    <col customWidth="1" min="4" max="4" width="17.75"/>
    <col customWidth="1" min="5" max="6" width="12.63"/>
  </cols>
  <sheetData>
    <row r="1" ht="35.25" customHeight="1">
      <c r="A1" s="1" t="s">
        <v>0</v>
      </c>
      <c r="B1" s="2"/>
      <c r="C1" s="2"/>
      <c r="D1" s="2"/>
      <c r="E1" s="2"/>
      <c r="F1" s="3"/>
      <c r="G1" s="4"/>
      <c r="H1" s="4"/>
      <c r="I1" s="4"/>
    </row>
    <row r="2" ht="28.5" customHeight="1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7" t="s">
        <v>6</v>
      </c>
      <c r="G2" s="4"/>
      <c r="H2" s="8"/>
      <c r="I2" s="8"/>
    </row>
    <row r="3" ht="15.75" customHeight="1">
      <c r="A3" s="9" t="s">
        <v>7</v>
      </c>
      <c r="B3" s="10" t="s">
        <v>8</v>
      </c>
      <c r="C3" s="11" t="s">
        <v>9</v>
      </c>
      <c r="D3" s="12">
        <v>0.15</v>
      </c>
      <c r="E3" s="10">
        <v>2.0</v>
      </c>
      <c r="F3" s="13" t="s">
        <v>10</v>
      </c>
      <c r="G3" s="4"/>
      <c r="H3" s="4"/>
      <c r="I3" s="4"/>
    </row>
    <row r="4" ht="15.75" customHeight="1">
      <c r="A4" s="9" t="s">
        <v>11</v>
      </c>
      <c r="B4" s="10" t="s">
        <v>12</v>
      </c>
      <c r="C4" s="11" t="s">
        <v>9</v>
      </c>
      <c r="D4" s="12">
        <v>0.2</v>
      </c>
      <c r="E4" s="10">
        <v>1.0</v>
      </c>
      <c r="F4" s="13" t="s">
        <v>10</v>
      </c>
      <c r="G4" s="4"/>
      <c r="H4" s="4"/>
      <c r="I4" s="4"/>
    </row>
    <row r="5" ht="15.75" customHeight="1">
      <c r="A5" s="9" t="s">
        <v>13</v>
      </c>
      <c r="B5" s="10" t="s">
        <v>14</v>
      </c>
      <c r="C5" s="11" t="s">
        <v>9</v>
      </c>
      <c r="D5" s="12">
        <v>0.15</v>
      </c>
      <c r="E5" s="10">
        <v>1.0</v>
      </c>
      <c r="F5" s="13" t="s">
        <v>10</v>
      </c>
      <c r="G5" s="4"/>
      <c r="H5" s="4"/>
      <c r="I5" s="4"/>
    </row>
    <row r="6" ht="15.75" customHeight="1">
      <c r="A6" s="9" t="s">
        <v>15</v>
      </c>
      <c r="B6" s="10" t="s">
        <v>16</v>
      </c>
      <c r="C6" s="11" t="s">
        <v>9</v>
      </c>
      <c r="D6" s="12">
        <v>0.1</v>
      </c>
      <c r="E6" s="10">
        <v>3.0</v>
      </c>
      <c r="F6" s="13" t="s">
        <v>17</v>
      </c>
      <c r="G6" s="4"/>
      <c r="H6" s="4"/>
      <c r="I6" s="4"/>
    </row>
    <row r="7" ht="15.75" customHeight="1">
      <c r="A7" s="9" t="s">
        <v>18</v>
      </c>
      <c r="B7" s="10" t="s">
        <v>19</v>
      </c>
      <c r="C7" s="11" t="s">
        <v>9</v>
      </c>
      <c r="D7" s="12">
        <v>0.1</v>
      </c>
      <c r="E7" s="10">
        <v>3.0</v>
      </c>
      <c r="F7" s="13" t="s">
        <v>17</v>
      </c>
      <c r="G7" s="4"/>
      <c r="H7" s="4"/>
      <c r="I7" s="4"/>
    </row>
    <row r="8" ht="15.75" customHeight="1">
      <c r="A8" s="9" t="s">
        <v>20</v>
      </c>
      <c r="B8" s="10" t="s">
        <v>21</v>
      </c>
      <c r="C8" s="11" t="s">
        <v>9</v>
      </c>
      <c r="D8" s="12">
        <v>0.05</v>
      </c>
      <c r="E8" s="10">
        <v>3.0</v>
      </c>
      <c r="F8" s="13" t="s">
        <v>17</v>
      </c>
      <c r="G8" s="4"/>
      <c r="H8" s="4"/>
      <c r="I8" s="4"/>
    </row>
    <row r="9" ht="15.75" customHeight="1">
      <c r="A9" s="9" t="s">
        <v>22</v>
      </c>
      <c r="B9" s="14" t="s">
        <v>23</v>
      </c>
      <c r="C9" s="11" t="s">
        <v>9</v>
      </c>
      <c r="D9" s="12">
        <v>0.1</v>
      </c>
      <c r="E9" s="10">
        <v>1.0</v>
      </c>
      <c r="F9" s="13" t="s">
        <v>10</v>
      </c>
      <c r="G9" s="4"/>
      <c r="H9" s="4"/>
      <c r="I9" s="4"/>
    </row>
    <row r="10" ht="15.75" customHeight="1">
      <c r="A10" s="9" t="s">
        <v>24</v>
      </c>
      <c r="B10" s="10" t="s">
        <v>25</v>
      </c>
      <c r="C10" s="11" t="s">
        <v>9</v>
      </c>
      <c r="D10" s="12">
        <v>0.05</v>
      </c>
      <c r="E10" s="10">
        <v>3.0</v>
      </c>
      <c r="F10" s="13" t="s">
        <v>17</v>
      </c>
      <c r="G10" s="4"/>
      <c r="H10" s="4"/>
      <c r="I10" s="4"/>
    </row>
    <row r="11" ht="15.75" customHeight="1">
      <c r="A11" s="9" t="s">
        <v>26</v>
      </c>
      <c r="B11" s="10" t="s">
        <v>27</v>
      </c>
      <c r="C11" s="11" t="s">
        <v>9</v>
      </c>
      <c r="D11" s="12">
        <v>0.1</v>
      </c>
      <c r="E11" s="10">
        <v>1.0</v>
      </c>
      <c r="F11" s="13" t="s">
        <v>10</v>
      </c>
      <c r="G11" s="4"/>
      <c r="H11" s="4"/>
      <c r="I11" s="4"/>
    </row>
    <row r="12" ht="15.75" customHeight="1">
      <c r="A12" s="15"/>
      <c r="B12" s="16"/>
      <c r="C12" s="17" t="s">
        <v>28</v>
      </c>
      <c r="D12" s="18">
        <f>SUM(D3:D11)</f>
        <v>1</v>
      </c>
      <c r="E12" s="19">
        <f t="shared" ref="E12:F12" si="1">SUM((E3*$D$3)+(E4*$D$4)+(E5*$D$5)+(E6*$D$6)+(E7*$D$7)+(E8*$D$8)+(E9*$D$9)+(E10*$D$10)+(E11*$D$11))/3</f>
        <v>0.5833333333</v>
      </c>
      <c r="F12" s="20">
        <f t="shared" si="1"/>
        <v>0.9</v>
      </c>
      <c r="G12" s="4"/>
      <c r="H12" s="4"/>
      <c r="I12" s="4"/>
    </row>
    <row r="13" ht="15.75" customHeight="1">
      <c r="A13" s="4"/>
      <c r="B13" s="4"/>
      <c r="C13" s="4"/>
      <c r="D13" s="21"/>
      <c r="E13" s="4"/>
      <c r="F13" s="4"/>
      <c r="G13" s="4"/>
      <c r="H13" s="4"/>
      <c r="I13" s="4"/>
    </row>
    <row r="14" ht="15.75" customHeight="1"/>
    <row r="15" ht="15.75" customHeight="1">
      <c r="A15" s="22"/>
      <c r="B15" s="22"/>
      <c r="C15" s="22"/>
    </row>
    <row r="16" ht="15.75" customHeight="1">
      <c r="A16" s="22"/>
      <c r="B16" s="22"/>
      <c r="C16" s="22"/>
    </row>
    <row r="17" ht="15.75" customHeight="1">
      <c r="A17" s="22"/>
      <c r="B17" s="22"/>
      <c r="C17" s="22"/>
    </row>
    <row r="18" ht="15.75" customHeight="1">
      <c r="A18" s="22"/>
      <c r="B18" s="22"/>
      <c r="C18" s="22"/>
    </row>
    <row r="19" ht="15.75" customHeight="1">
      <c r="A19" s="22"/>
      <c r="B19" s="22"/>
      <c r="C19" s="22"/>
    </row>
    <row r="20" ht="15.75" customHeight="1">
      <c r="A20" s="22"/>
      <c r="B20" s="22"/>
      <c r="C20" s="22"/>
    </row>
    <row r="21" ht="15.75" customHeight="1">
      <c r="A21" s="22"/>
      <c r="B21" s="22"/>
      <c r="C21" s="2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">
    <mergeCell ref="A1:F1"/>
  </mergeCells>
  <drawing r:id="rId1"/>
</worksheet>
</file>